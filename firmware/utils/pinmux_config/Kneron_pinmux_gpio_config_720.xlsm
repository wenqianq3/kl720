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Kneron_data\Source\GitLab\beethoven_sw_4\firmware\utils\pinmux\"/>
    </mc:Choice>
  </mc:AlternateContent>
  <xr:revisionPtr revIDLastSave="0" documentId="13_ncr:1_{C37943A5-8064-45B4-B0D9-F119F617372D}" xr6:coauthVersionLast="45" xr6:coauthVersionMax="45" xr10:uidLastSave="{00000000-0000-0000-0000-000000000000}"/>
  <bookViews>
    <workbookView xWindow="3165" yWindow="2580" windowWidth="25575" windowHeight="12375" activeTab="2" xr2:uid="{0DE86864-91C6-422C-BAFE-190C177F2FB4}"/>
  </bookViews>
  <sheets>
    <sheet name="Keil_info" sheetId="4" r:id="rId1"/>
    <sheet name="CustomerConfig" sheetId="3" r:id="rId2"/>
    <sheet name="Kneron_Pinmux_720ev_9x9" sheetId="2" r:id="rId3"/>
  </sheets>
  <functionGroups builtInGroupCount="19"/>
  <definedNames>
    <definedName name="Activate">Kneron_Pinmux_720ev_9x9!$G1</definedName>
    <definedName name="ActivateRange" localSheetId="2">Kneron_Pinmux_720ev_9x9!$G$6:$G$102</definedName>
    <definedName name="AsicResult">CustomerConfig!$C$4</definedName>
    <definedName name="Beethove_default">Kneron_Pinmux_720ev_9x9!$G$126:$P$217</definedName>
    <definedName name="Beethoven_720ev_9x9_default">Kneron_Pinmux_720ev_9x9!$G$222:$P$313</definedName>
    <definedName name="BoardCustomerID">CustomerConfig!$D$27</definedName>
    <definedName name="BoardDefineOpt">CustomerConfig!$B$109</definedName>
    <definedName name="BoardDefineOptRange">CustomerConfig!$B$109:$S$208</definedName>
    <definedName name="boardID">CustomerConfig!$C$28</definedName>
    <definedName name="BoardResult">CustomerConfig!$D$4</definedName>
    <definedName name="CFG_AI">CustomerConfig!$H$2</definedName>
    <definedName name="CFG_AI_DL">CFG_AI_Range</definedName>
    <definedName name="CFG_AI_Range">CustomerConfig!$H$4:$H$5</definedName>
    <definedName name="CFG_SUPPORT_DL">CFG_SUPPORT_Range</definedName>
    <definedName name="COMM_I2CSPEED">CustomerConfig!$K$2</definedName>
    <definedName name="COMM_I2CSPEED_Range">CustomerConfig!$K$5:$K$8</definedName>
    <definedName name="COMM_PORT">CustomerConfig!$J$2</definedName>
    <definedName name="COMM_PORT_NUM">CustomerConfig!$C$32</definedName>
    <definedName name="COMM_PORT_Range">CustomerConfig!$J$5:$J$8</definedName>
    <definedName name="COMM_PORT_ROW">CustomerConfig!$32:$32</definedName>
    <definedName name="COMM_SPIMODE">CustomerConfig!$L$2</definedName>
    <definedName name="COMM_SPIMODE_Range">CustomerConfig!$L$5:$L$8</definedName>
    <definedName name="COMM_SUPPORT">CustomerConfig!$I$2</definedName>
    <definedName name="COMM_SUPPORT_Range">CustomerConfig!$I$5:$I$8</definedName>
    <definedName name="ConfigOptDataRange">CustomerConfig!$F$5:$CI$14</definedName>
    <definedName name="CurrPath">Kneron_Pinmux_720ev_9x9!$B$1</definedName>
    <definedName name="DataRange">Kneron_Pinmux_720ev_9x9!$F$6:$X$120</definedName>
    <definedName name="Default_dir">Kneron_Pinmux_720ev_9x9!$L$117</definedName>
    <definedName name="Default_drv">Kneron_Pinmux_720ev_9x9!$J$117</definedName>
    <definedName name="Default_Edgesetting">Kneron_Pinmux_720ev_9x9!$O$117</definedName>
    <definedName name="Default_Intsetting">Kneron_Pinmux_720ev_9x9!$N$117</definedName>
    <definedName name="Default_Levelsetting">Kneron_Pinmux_720ev_9x9!$P$117</definedName>
    <definedName name="Default_mod">Kneron_Pinmux_720ev_9x9!$H$117</definedName>
    <definedName name="Default_Output">Kneron_Pinmux_720ev_9x9!$M$117</definedName>
    <definedName name="Default_pud">Kneron_Pinmux_720ev_9x9!$I$117</definedName>
    <definedName name="DirInput">Kneron_Pinmux_720ev_9x9!$L$106</definedName>
    <definedName name="DirOutput">Kneron_Pinmux_720ev_9x9!$L$107</definedName>
    <definedName name="DISPLAY_DEVICE">CustomerConfig!$F$2</definedName>
    <definedName name="DISPLAY_DEVICE_DL">DISPLAY_DEVICE_Range</definedName>
    <definedName name="DISPLAY_DEVICE_Range">CustomerConfig!$F$5:$F$7</definedName>
    <definedName name="DISPLAY_PANEL">CustomerConfig!$G$2</definedName>
    <definedName name="DISPLAY_PANEL_DL">DISPLAY_PANEL_Range</definedName>
    <definedName name="DISPLAY_PANEL_Range">CustomerConfig!$G$5:$G$7</definedName>
    <definedName name="EdgeBoth">Kneron_Pinmux_720ev_9x9!#REF!</definedName>
    <definedName name="EdgeSingal">Kneron_Pinmux_720ev_9x9!#REF!</definedName>
    <definedName name="filename">CustomerConfig!$B$5</definedName>
    <definedName name="filepath">CustomerConfig!$B$4</definedName>
    <definedName name="FLASH_COMM">CustomerConfig!$O$2</definedName>
    <definedName name="FLASH_COMM_Range">CustomerConfig!$O$5:$O$7</definedName>
    <definedName name="FLASH_DRV">CustomerConfig!$P$2</definedName>
    <definedName name="FLASH_DRV_Range">CustomerConfig!$P$5:$P$9</definedName>
    <definedName name="FLASH_SIZE">CustomerConfig!$N$2</definedName>
    <definedName name="FLASH_SIZE_Range">CustomerConfig!$N$5:$N$11</definedName>
    <definedName name="FLASH_TYPE">CustomerConfig!$M$2</definedName>
    <definedName name="FLASH_TYPE_Range">CustomerConfig!$M$5:$M$10</definedName>
    <definedName name="foldername">CustomerConfig!$D$5</definedName>
    <definedName name="HasGPIO">Kneron_Pinmux_720ev_9x9!$X$105</definedName>
    <definedName name="HasI2C">Kneron_Pinmux_720ev_9x9!$X$107</definedName>
    <definedName name="HasSPI">Kneron_Pinmux_720ev_9x9!$X$106</definedName>
    <definedName name="IMAGE_FORMAT_DL">IMAGE_FORMAT_Range</definedName>
    <definedName name="IMAGE_MIPILANE_DL">IMAGE_MIPILANE_Range</definedName>
    <definedName name="IMAGE_TYPE_DL">IMAGE_TYPE_Range</definedName>
    <definedName name="IMGSR_NUM">CustomerConfig!$C$31</definedName>
    <definedName name="IMGSR_NUM_ROW">CustomerConfig!$31:$31</definedName>
    <definedName name="IMGSRC_IN_DL">IMGSRC_IN_Range</definedName>
    <definedName name="IMGSRC_IN_PORT">CustomerConfig!$G$2</definedName>
    <definedName name="IntDisable">Kneron_Pinmux_720ev_9x9!$N$106</definedName>
    <definedName name="IntEdgeBoth">Kneron_Pinmux_720ev_9x9!$O$108</definedName>
    <definedName name="IntEdgeFall">Kneron_Pinmux_720ev_9x9!$O$107</definedName>
    <definedName name="IntEdgeNone">Kneron_Pinmux_720ev_9x9!$O$109</definedName>
    <definedName name="IntEdgeRise">Kneron_Pinmux_720ev_9x9!$O$106</definedName>
    <definedName name="IntEnable">Kneron_Pinmux_720ev_9x9!$N$107</definedName>
    <definedName name="IntLevelHigh">Kneron_Pinmux_720ev_9x9!$P$106</definedName>
    <definedName name="IntLevelLow">Kneron_Pinmux_720ev_9x9!$P$107</definedName>
    <definedName name="IntLevelNone">Kneron_Pinmux_720ev_9x9!$P$108</definedName>
    <definedName name="iodir">Kneron_Pinmux_720ev_9x9!$L$6</definedName>
    <definedName name="ioEdgeOpt">Kneron_Pinmux_720ev_9x9!$O$6</definedName>
    <definedName name="iointen">Kneron_Pinmux_720ev_9x9!$N$6</definedName>
    <definedName name="ioLevelOpt">Kneron_Pinmux_720ev_9x9!$P$6</definedName>
    <definedName name="ioOutOpt">Kneron_Pinmux_720ev_9x9!$M$6</definedName>
    <definedName name="ItemSearchStart">CustomerConfig!$F$2</definedName>
    <definedName name="keilinfo_pathstart">Keil_info!$G$6</definedName>
    <definedName name="keilrelated_drv_init">CustomerConfig!$G$228</definedName>
    <definedName name="keilrelated_include_file">CustomerConfig!$H$228</definedName>
    <definedName name="keilrelatedrange">Keil_info!$C$6:$K$49</definedName>
    <definedName name="keilrelatedrangenum">CustomerConfig!$B$226</definedName>
    <definedName name="keilrelatedrangestart">CustomerConfig!$B$228</definedName>
    <definedName name="LoopMax">CustomerConfig!$D$29</definedName>
    <definedName name="Option_Activate">Kneron_Pinmux_720ev_9x9!$G$106:$G$107</definedName>
    <definedName name="Option_dir">Kneron_Pinmux_720ev_9x9!$L$106:$L$107</definedName>
    <definedName name="Option_drv">Kneron_Pinmux_720ev_9x9!$J$106:$J$109</definedName>
    <definedName name="Option_Edgesetting">Kneron_Pinmux_720ev_9x9!$O$106:$O$109</definedName>
    <definedName name="Option_Intsetting">Kneron_Pinmux_720ev_9x9!$N$106:$N$107</definedName>
    <definedName name="Option_Levelsetting">Kneron_Pinmux_720ev_9x9!$P$106:$P$108</definedName>
    <definedName name="Option_mod">Kneron_Pinmux_720ev_9x9!$H$106:$H$113</definedName>
    <definedName name="Option_Output">Kneron_Pinmux_720ev_9x9!$M$106:$M$107</definedName>
    <definedName name="Option_pud">Kneron_Pinmux_720ev_9x9!$I$106:$I$108</definedName>
    <definedName name="OutputHigh">Kneron_Pinmux_720ev_9x9!$M$107</definedName>
    <definedName name="OutputLow">Kneron_Pinmux_720ev_9x9!$M$106</definedName>
    <definedName name="path">CustomerConfig!$B$6</definedName>
    <definedName name="pcomment">Kneron_Pinmux_720ev_9x9!$U$6</definedName>
    <definedName name="pdrv">Kneron_Pinmux_720ev_9x9!$J$6</definedName>
    <definedName name="PeripheralsRequirementList_Range">CustomerConfig!$C$34:$D$54</definedName>
    <definedName name="PeripheralsRequirementListStart">CustomerConfig!$C$34</definedName>
    <definedName name="Pinmode">Kneron_Pinmux_720ev_9x9!$X1</definedName>
    <definedName name="pinmux_content" localSheetId="2">Kneron_Pinmux_720ev_9x9!$G$6:$P$102</definedName>
    <definedName name="pinmux_mode_resync">Kneron_Pinmux_720ev_9x9!$G$6</definedName>
    <definedName name="pinmux_start" localSheetId="2">Kneron_Pinmux_720ev_9x9!$F$6</definedName>
    <definedName name="PinNum" localSheetId="2">Kneron_Pinmux_720ev_9x9!$B$4</definedName>
    <definedName name="pmode">Kneron_Pinmux_720ev_9x9!$H$6</definedName>
    <definedName name="projectpath">CustomerConfig!$C$25</definedName>
    <definedName name="pud">Kneron_Pinmux_720ev_9x9!$I$6</definedName>
    <definedName name="RequirementOptNum">CustomerConfig!$C$29</definedName>
    <definedName name="RES">CustomerConfig!$I$2</definedName>
    <definedName name="result_pinmux_mode">Kneron_Pinmux_720ev_9x9!$X$6:$X$102</definedName>
    <definedName name="result_pinmux_mode_start">Kneron_Pinmux_720ev_9x9!$X$6</definedName>
    <definedName name="secretdatazone">CustomerConfig!$1:$19</definedName>
    <definedName name="SENSOR_COM_DL">SENSOR_COM_Range</definedName>
    <definedName name="SENSOR_COM_droplist_ctx">CustomerConfig!$F$5:$F$6</definedName>
    <definedName name="SENSOR_ID_DL">SENSOR_ID_Range</definedName>
    <definedName name="SENSOR_RES_DL">SENSOR_RES_Range</definedName>
    <definedName name="SUPPORT_ADC">CustomerConfig!$Q$2</definedName>
    <definedName name="SUPPORT_ADC_Range">CustomerConfig!$Q$5:$Q$6</definedName>
    <definedName name="SUPPORT_DDR">CustomerConfig!$R$2</definedName>
    <definedName name="SUPPORT_DDR_Range">CustomerConfig!$R$5:$R$6</definedName>
    <definedName name="SUPPORT_GDMA">CustomerConfig!$S$2</definedName>
    <definedName name="SUPPORT_GDMA_Range">CustomerConfig!$S$5:$S$6</definedName>
    <definedName name="SUPPORT_GPIO">CustomerConfig!$T$2</definedName>
    <definedName name="SUPPORT_GPIO_Range">CustomerConfig!$T$5:$T$6</definedName>
    <definedName name="SUPPORT_PWM">CustomerConfig!$U$2</definedName>
    <definedName name="SUPPORT_PWM_Range">CustomerConfig!$U$5:$U$6</definedName>
    <definedName name="SUPPORT_SDC">CustomerConfig!$V$2</definedName>
    <definedName name="SUPPORT_SDC_Range">CustomerConfig!$V$5:$V$6</definedName>
    <definedName name="SUPPORT_TIMER">CustomerConfig!$W$2</definedName>
    <definedName name="SUPPORT_TIMER_Range">CustomerConfig!$W$5:$W$6</definedName>
    <definedName name="SUPPORT_UART">CustomerConfig!$Z$2</definedName>
    <definedName name="SUPPORT_UART_Range">CustomerConfig!$Z$5:$Z$6</definedName>
    <definedName name="SUPPORT_USB">CustomerConfig!$X$2</definedName>
    <definedName name="SUPPORT_USB_Range">CustomerConfig!$X$5:$X$6</definedName>
    <definedName name="SUPPORT_WDT">CustomerConfig!$Y$2</definedName>
    <definedName name="SUPPORT_WDT_Range">CustomerConfig!$Y$5:$Y$6</definedName>
    <definedName name="total_i2c">CustomerConfig!$E$32</definedName>
    <definedName name="total_i2s">CustomerConfig!$H$32</definedName>
    <definedName name="total_sensor_i2c">CustomerConfig!$E$31</definedName>
    <definedName name="total_sensor_spi">CustomerConfig!$F$31</definedName>
    <definedName name="total_spi">CustomerConfig!$F$32</definedName>
    <definedName name="total_uart">CustomerConfig!$G$32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9" i="2" l="1"/>
  <c r="I39" i="2"/>
  <c r="H39" i="2"/>
  <c r="J38" i="2"/>
  <c r="I38" i="2"/>
  <c r="J37" i="2"/>
  <c r="I37" i="2"/>
  <c r="J81" i="2"/>
  <c r="I81" i="2"/>
  <c r="H81" i="2"/>
  <c r="J80" i="2"/>
  <c r="I80" i="2"/>
  <c r="H80" i="2"/>
  <c r="J79" i="2"/>
  <c r="I79" i="2"/>
  <c r="H79" i="2"/>
  <c r="J78" i="2"/>
  <c r="I78" i="2"/>
  <c r="H78" i="2"/>
  <c r="J77" i="2"/>
  <c r="I77" i="2"/>
  <c r="H77" i="2"/>
  <c r="J76" i="2"/>
  <c r="I76" i="2"/>
  <c r="H76" i="2"/>
  <c r="J75" i="2"/>
  <c r="I75" i="2"/>
  <c r="H75" i="2"/>
  <c r="J74" i="2"/>
  <c r="I74" i="2"/>
  <c r="H74" i="2"/>
  <c r="J73" i="2"/>
  <c r="I73" i="2"/>
  <c r="H73" i="2"/>
  <c r="J72" i="2"/>
  <c r="I72" i="2"/>
  <c r="H72" i="2"/>
  <c r="J71" i="2"/>
  <c r="I71" i="2"/>
  <c r="H71" i="2"/>
  <c r="J70" i="2"/>
  <c r="I70" i="2"/>
  <c r="H70" i="2"/>
  <c r="J69" i="2"/>
  <c r="I69" i="2"/>
  <c r="H69" i="2"/>
  <c r="J68" i="2"/>
  <c r="I68" i="2"/>
  <c r="H68" i="2"/>
  <c r="J67" i="2"/>
  <c r="I67" i="2"/>
  <c r="H67" i="2"/>
  <c r="J66" i="2"/>
  <c r="I66" i="2"/>
  <c r="H66" i="2"/>
  <c r="J65" i="2"/>
  <c r="I65" i="2"/>
  <c r="H65" i="2"/>
  <c r="J64" i="2"/>
  <c r="I64" i="2"/>
  <c r="H64" i="2"/>
  <c r="J63" i="2"/>
  <c r="I63" i="2"/>
  <c r="H63" i="2"/>
  <c r="J62" i="2"/>
  <c r="I62" i="2"/>
  <c r="H62" i="2"/>
  <c r="J44" i="2"/>
  <c r="I44" i="2"/>
  <c r="H44" i="2"/>
  <c r="J43" i="2"/>
  <c r="I43" i="2"/>
  <c r="H43" i="2"/>
  <c r="J42" i="2"/>
  <c r="I42" i="2"/>
  <c r="H42" i="2"/>
  <c r="J41" i="2"/>
  <c r="I41" i="2"/>
  <c r="H41" i="2"/>
  <c r="J40" i="2"/>
  <c r="I40" i="2"/>
  <c r="H40" i="2"/>
  <c r="J36" i="2"/>
  <c r="I36" i="2"/>
  <c r="J20" i="2"/>
  <c r="I20" i="2"/>
  <c r="H20" i="2"/>
  <c r="J17" i="2"/>
  <c r="I17" i="2"/>
  <c r="H17" i="2"/>
  <c r="J16" i="2"/>
  <c r="I16" i="2"/>
  <c r="H16" i="2"/>
  <c r="E34" i="2"/>
  <c r="E33" i="2"/>
  <c r="E32" i="2"/>
  <c r="F31" i="3" l="1"/>
  <c r="E31" i="3"/>
  <c r="G32" i="3"/>
  <c r="H32" i="3"/>
  <c r="F32" i="3"/>
  <c r="E32" i="3"/>
  <c r="D29" i="3" l="1"/>
  <c r="G253" i="3" l="1"/>
  <c r="D1" i="3" l="1"/>
  <c r="D4" i="3"/>
  <c r="C28" i="3" s="1"/>
  <c r="F228" i="3" l="1"/>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B228" i="3" l="1"/>
  <c r="C228" i="3"/>
  <c r="D228" i="3"/>
  <c r="E228" i="3"/>
  <c r="G228" i="3"/>
  <c r="H228" i="3"/>
  <c r="I228" i="3"/>
  <c r="B229" i="3"/>
  <c r="C229" i="3"/>
  <c r="D229" i="3"/>
  <c r="E229" i="3"/>
  <c r="G229" i="3"/>
  <c r="H229" i="3"/>
  <c r="I229" i="3"/>
  <c r="B230" i="3"/>
  <c r="C230" i="3"/>
  <c r="D230" i="3"/>
  <c r="E230" i="3"/>
  <c r="G230" i="3"/>
  <c r="H230" i="3"/>
  <c r="I230" i="3"/>
  <c r="B231" i="3"/>
  <c r="C231" i="3"/>
  <c r="D231" i="3"/>
  <c r="E231" i="3"/>
  <c r="G231" i="3"/>
  <c r="H231" i="3"/>
  <c r="I231" i="3"/>
  <c r="B232" i="3"/>
  <c r="C232" i="3"/>
  <c r="D232" i="3"/>
  <c r="E232" i="3"/>
  <c r="G232" i="3"/>
  <c r="H232" i="3"/>
  <c r="I232" i="3"/>
  <c r="B233" i="3"/>
  <c r="C233" i="3"/>
  <c r="D233" i="3"/>
  <c r="E233" i="3"/>
  <c r="G233" i="3"/>
  <c r="H233" i="3"/>
  <c r="I233" i="3"/>
  <c r="B234" i="3"/>
  <c r="C234" i="3"/>
  <c r="D234" i="3"/>
  <c r="E234" i="3"/>
  <c r="G234" i="3"/>
  <c r="H234" i="3"/>
  <c r="I234" i="3"/>
  <c r="B235" i="3"/>
  <c r="C235" i="3"/>
  <c r="D235" i="3"/>
  <c r="E235" i="3"/>
  <c r="G235" i="3"/>
  <c r="H235" i="3"/>
  <c r="I235" i="3"/>
  <c r="B236" i="3"/>
  <c r="C236" i="3"/>
  <c r="D236" i="3"/>
  <c r="E236" i="3"/>
  <c r="G236" i="3"/>
  <c r="H236" i="3"/>
  <c r="I236" i="3"/>
  <c r="B237" i="3"/>
  <c r="C237" i="3"/>
  <c r="D237" i="3"/>
  <c r="E237" i="3"/>
  <c r="G237" i="3"/>
  <c r="H237" i="3"/>
  <c r="I237" i="3"/>
  <c r="B238" i="3"/>
  <c r="C238" i="3"/>
  <c r="D238" i="3"/>
  <c r="E238" i="3"/>
  <c r="G238" i="3"/>
  <c r="H238" i="3"/>
  <c r="I238" i="3"/>
  <c r="B239" i="3"/>
  <c r="C239" i="3"/>
  <c r="D239" i="3"/>
  <c r="E239" i="3"/>
  <c r="G239" i="3"/>
  <c r="H239" i="3"/>
  <c r="I239" i="3"/>
  <c r="B240" i="3"/>
  <c r="C240" i="3"/>
  <c r="D240" i="3"/>
  <c r="E240" i="3"/>
  <c r="G240" i="3"/>
  <c r="H240" i="3"/>
  <c r="I240" i="3"/>
  <c r="B241" i="3"/>
  <c r="C241" i="3"/>
  <c r="D241" i="3"/>
  <c r="E241" i="3"/>
  <c r="G241" i="3"/>
  <c r="H241" i="3"/>
  <c r="I241" i="3"/>
  <c r="B242" i="3"/>
  <c r="C242" i="3"/>
  <c r="D242" i="3"/>
  <c r="E242" i="3"/>
  <c r="G242" i="3"/>
  <c r="H242" i="3"/>
  <c r="I242" i="3"/>
  <c r="B243" i="3"/>
  <c r="C243" i="3"/>
  <c r="D243" i="3"/>
  <c r="E243" i="3"/>
  <c r="G243" i="3"/>
  <c r="H243" i="3"/>
  <c r="I243" i="3"/>
  <c r="B244" i="3"/>
  <c r="C244" i="3"/>
  <c r="D244" i="3"/>
  <c r="E244" i="3"/>
  <c r="G244" i="3"/>
  <c r="H244" i="3"/>
  <c r="I244" i="3"/>
  <c r="B245" i="3"/>
  <c r="C245" i="3"/>
  <c r="D245" i="3"/>
  <c r="E245" i="3"/>
  <c r="G245" i="3"/>
  <c r="H245" i="3"/>
  <c r="I245" i="3"/>
  <c r="B246" i="3"/>
  <c r="C246" i="3"/>
  <c r="D246" i="3"/>
  <c r="E246" i="3"/>
  <c r="G246" i="3"/>
  <c r="H246" i="3"/>
  <c r="I246" i="3"/>
  <c r="B247" i="3"/>
  <c r="C247" i="3"/>
  <c r="D247" i="3"/>
  <c r="E247" i="3"/>
  <c r="G247" i="3"/>
  <c r="H247" i="3"/>
  <c r="I247" i="3"/>
  <c r="B248" i="3"/>
  <c r="C248" i="3"/>
  <c r="D248" i="3"/>
  <c r="E248" i="3"/>
  <c r="G248" i="3"/>
  <c r="H248" i="3"/>
  <c r="I248" i="3"/>
  <c r="B249" i="3"/>
  <c r="C249" i="3"/>
  <c r="D249" i="3"/>
  <c r="E249" i="3"/>
  <c r="G249" i="3"/>
  <c r="H249" i="3"/>
  <c r="I249" i="3"/>
  <c r="B250" i="3"/>
  <c r="C250" i="3"/>
  <c r="D250" i="3"/>
  <c r="E250" i="3"/>
  <c r="G250" i="3"/>
  <c r="H250" i="3"/>
  <c r="I250" i="3"/>
  <c r="B251" i="3"/>
  <c r="C251" i="3"/>
  <c r="D251" i="3"/>
  <c r="E251" i="3"/>
  <c r="G251" i="3"/>
  <c r="H251" i="3"/>
  <c r="I251" i="3"/>
  <c r="B252" i="3"/>
  <c r="C252" i="3"/>
  <c r="D252" i="3"/>
  <c r="E252" i="3"/>
  <c r="G252" i="3"/>
  <c r="H252" i="3"/>
  <c r="I252" i="3"/>
  <c r="B253" i="3"/>
  <c r="C253" i="3"/>
  <c r="D253" i="3"/>
  <c r="E253" i="3"/>
  <c r="H253" i="3"/>
  <c r="I253" i="3"/>
  <c r="B254" i="3"/>
  <c r="C254" i="3"/>
  <c r="D254" i="3"/>
  <c r="E254" i="3"/>
  <c r="G254" i="3"/>
  <c r="H254" i="3"/>
  <c r="I254" i="3"/>
  <c r="B255" i="3"/>
  <c r="C255" i="3"/>
  <c r="D255" i="3"/>
  <c r="E255" i="3"/>
  <c r="G255" i="3"/>
  <c r="H255" i="3"/>
  <c r="I255" i="3"/>
  <c r="B256" i="3"/>
  <c r="C256" i="3"/>
  <c r="D256" i="3"/>
  <c r="E256" i="3"/>
  <c r="G256" i="3"/>
  <c r="H256" i="3"/>
  <c r="I256" i="3"/>
  <c r="B257" i="3"/>
  <c r="C257" i="3"/>
  <c r="D257" i="3"/>
  <c r="E257" i="3"/>
  <c r="G257" i="3"/>
  <c r="H257" i="3"/>
  <c r="I257" i="3"/>
  <c r="B258" i="3"/>
  <c r="C258" i="3"/>
  <c r="D258" i="3"/>
  <c r="E258" i="3"/>
  <c r="G258" i="3"/>
  <c r="H258" i="3"/>
  <c r="I258" i="3"/>
  <c r="B259" i="3"/>
  <c r="C259" i="3"/>
  <c r="D259" i="3"/>
  <c r="E259" i="3"/>
  <c r="G259" i="3"/>
  <c r="H259" i="3"/>
  <c r="I259" i="3"/>
  <c r="B260" i="3"/>
  <c r="C260" i="3"/>
  <c r="D260" i="3"/>
  <c r="E260" i="3"/>
  <c r="G260" i="3"/>
  <c r="H260" i="3"/>
  <c r="I260" i="3"/>
  <c r="C227" i="3"/>
  <c r="D227" i="3"/>
  <c r="E227" i="3"/>
  <c r="F227" i="3"/>
  <c r="G227" i="3"/>
  <c r="H227" i="3"/>
  <c r="I227" i="3"/>
  <c r="B227" i="3"/>
  <c r="C29" i="3" l="1"/>
  <c r="B226" i="3" l="1"/>
  <c r="C4" i="4"/>
  <c r="F4" i="3" l="1"/>
  <c r="G4" i="3" l="1"/>
  <c r="I4" i="3"/>
  <c r="J4" i="3"/>
  <c r="K4" i="3"/>
  <c r="L4" i="3"/>
  <c r="M4" i="3"/>
  <c r="N4" i="3"/>
  <c r="O4" i="3"/>
  <c r="P4" i="3"/>
  <c r="Q4" i="3"/>
  <c r="R4" i="3"/>
  <c r="S4" i="3"/>
  <c r="T4" i="3"/>
  <c r="U4" i="3"/>
  <c r="V4" i="3"/>
  <c r="W4" i="3"/>
  <c r="X4" i="3"/>
  <c r="Y4" i="3"/>
  <c r="Z4" i="3"/>
  <c r="AA4" i="3"/>
  <c r="AB4" i="3"/>
  <c r="AC4" i="3"/>
  <c r="AD4" i="3"/>
  <c r="AE4" i="3"/>
  <c r="AF4" i="3"/>
  <c r="AG4" i="3"/>
  <c r="AH4" i="3"/>
  <c r="AI4" i="3"/>
  <c r="AJ4" i="3"/>
  <c r="AK4" i="3"/>
  <c r="AL4" i="3"/>
  <c r="AM4" i="3"/>
  <c r="AN4" i="3"/>
  <c r="AO4" i="3"/>
  <c r="AP4" i="3"/>
  <c r="AQ4" i="3"/>
  <c r="AR4" i="3"/>
  <c r="AS4" i="3"/>
  <c r="AT4" i="3"/>
  <c r="AU4" i="3"/>
  <c r="AV4" i="3"/>
  <c r="AW4" i="3"/>
  <c r="AX4" i="3"/>
  <c r="AY4" i="3"/>
  <c r="AZ4" i="3"/>
  <c r="BA4" i="3"/>
  <c r="BB4" i="3"/>
  <c r="BC4" i="3"/>
  <c r="BC1" i="3"/>
  <c r="BB1" i="3"/>
  <c r="BA1" i="3"/>
  <c r="AZ1" i="3"/>
  <c r="AY1" i="3"/>
  <c r="AX1" i="3"/>
  <c r="AW1" i="3"/>
  <c r="AV1" i="3"/>
  <c r="AU1" i="3"/>
  <c r="AT1" i="3"/>
  <c r="AS1" i="3"/>
  <c r="AR1" i="3"/>
  <c r="AQ1" i="3"/>
  <c r="AP1" i="3"/>
  <c r="AO1" i="3"/>
  <c r="AN1" i="3"/>
  <c r="AM1" i="3"/>
  <c r="AL1" i="3"/>
  <c r="AK1" i="3"/>
  <c r="AJ1" i="3"/>
  <c r="AI1" i="3"/>
  <c r="AH1" i="3"/>
  <c r="AG1" i="3"/>
  <c r="AF1" i="3"/>
  <c r="AE1" i="3"/>
  <c r="AD1" i="3"/>
  <c r="AC1" i="3"/>
  <c r="AB1" i="3"/>
  <c r="AA1" i="3"/>
  <c r="Z1" i="3"/>
  <c r="Y1" i="3"/>
  <c r="X1" i="3"/>
  <c r="W1" i="3"/>
  <c r="V1" i="3"/>
  <c r="U1" i="3"/>
  <c r="T1" i="3"/>
  <c r="S1" i="3"/>
  <c r="R1" i="3"/>
  <c r="Q1" i="3"/>
  <c r="P1" i="3"/>
  <c r="O1" i="3"/>
  <c r="N1" i="3"/>
  <c r="M1" i="3"/>
  <c r="L1" i="3"/>
  <c r="K1" i="3"/>
  <c r="J1" i="3"/>
  <c r="I1" i="3"/>
  <c r="G1" i="3"/>
  <c r="F1" i="3"/>
  <c r="C4" i="3"/>
  <c r="B4" i="2" l="1"/>
  <c r="B1" i="2"/>
  <c r="N4" i="2" l="1"/>
  <c r="M4" i="2"/>
  <c r="T102" i="2"/>
  <c r="S102" i="2"/>
  <c r="R102" i="2"/>
  <c r="T101" i="2"/>
  <c r="S101" i="2"/>
  <c r="R101" i="2"/>
  <c r="T100" i="2"/>
  <c r="S100" i="2"/>
  <c r="R100" i="2"/>
  <c r="T99" i="2"/>
  <c r="S99" i="2"/>
  <c r="R99" i="2"/>
  <c r="T98" i="2"/>
  <c r="S98" i="2"/>
  <c r="R98" i="2"/>
  <c r="T97" i="2"/>
  <c r="S97" i="2"/>
  <c r="R97" i="2"/>
  <c r="T96" i="2"/>
  <c r="S96" i="2"/>
  <c r="R96" i="2"/>
  <c r="T95" i="2"/>
  <c r="S95" i="2"/>
  <c r="R95" i="2"/>
  <c r="T94" i="2"/>
  <c r="S94" i="2"/>
  <c r="R94" i="2"/>
  <c r="T93" i="2"/>
  <c r="S93" i="2"/>
  <c r="R93" i="2"/>
  <c r="T92" i="2"/>
  <c r="S92" i="2"/>
  <c r="R92" i="2"/>
  <c r="T91" i="2"/>
  <c r="S91" i="2"/>
  <c r="R91" i="2"/>
  <c r="T90" i="2"/>
  <c r="S90" i="2"/>
  <c r="R90" i="2"/>
  <c r="T89" i="2"/>
  <c r="S89" i="2"/>
  <c r="R89" i="2"/>
  <c r="T88" i="2"/>
  <c r="S88" i="2"/>
  <c r="R88" i="2"/>
  <c r="T87" i="2"/>
  <c r="S87" i="2"/>
  <c r="R87" i="2"/>
  <c r="T86" i="2"/>
  <c r="S86" i="2"/>
  <c r="R86" i="2"/>
  <c r="T85" i="2"/>
  <c r="S85" i="2"/>
  <c r="R85" i="2"/>
  <c r="T84" i="2"/>
  <c r="S84" i="2"/>
  <c r="R84" i="2"/>
  <c r="T83" i="2"/>
  <c r="S83" i="2"/>
  <c r="R83" i="2"/>
  <c r="T82" i="2"/>
  <c r="S82" i="2"/>
  <c r="R82" i="2"/>
  <c r="T81" i="2"/>
  <c r="S81" i="2"/>
  <c r="R81" i="2"/>
  <c r="T80" i="2"/>
  <c r="S80" i="2"/>
  <c r="R80" i="2"/>
  <c r="T79" i="2"/>
  <c r="S79" i="2"/>
  <c r="R79" i="2"/>
  <c r="T78" i="2"/>
  <c r="S78" i="2"/>
  <c r="R78" i="2"/>
  <c r="T77" i="2"/>
  <c r="S77" i="2"/>
  <c r="R77" i="2"/>
  <c r="T76" i="2"/>
  <c r="S76" i="2"/>
  <c r="R76" i="2"/>
  <c r="T75" i="2"/>
  <c r="S75" i="2"/>
  <c r="R75" i="2"/>
  <c r="T74" i="2"/>
  <c r="S74" i="2"/>
  <c r="R74" i="2"/>
  <c r="T73" i="2"/>
  <c r="S73" i="2"/>
  <c r="R73" i="2"/>
  <c r="T72" i="2"/>
  <c r="S72" i="2"/>
  <c r="R72" i="2"/>
  <c r="T71" i="2"/>
  <c r="S71" i="2"/>
  <c r="R71" i="2"/>
  <c r="T70" i="2"/>
  <c r="S70" i="2"/>
  <c r="R70" i="2"/>
  <c r="T69" i="2"/>
  <c r="S69" i="2"/>
  <c r="R69" i="2"/>
  <c r="T68" i="2"/>
  <c r="S68" i="2"/>
  <c r="R68" i="2"/>
  <c r="T67" i="2"/>
  <c r="S67" i="2"/>
  <c r="R67" i="2"/>
  <c r="T66" i="2"/>
  <c r="S66" i="2"/>
  <c r="R66" i="2"/>
  <c r="T65" i="2"/>
  <c r="S65" i="2"/>
  <c r="R65" i="2"/>
  <c r="T64" i="2"/>
  <c r="S64" i="2"/>
  <c r="R64" i="2"/>
  <c r="T63" i="2"/>
  <c r="S63" i="2"/>
  <c r="R63" i="2"/>
  <c r="T62" i="2"/>
  <c r="S62" i="2"/>
  <c r="R62" i="2"/>
  <c r="T61" i="2"/>
  <c r="S61" i="2"/>
  <c r="R61" i="2"/>
  <c r="T60" i="2"/>
  <c r="S60" i="2"/>
  <c r="R60" i="2"/>
  <c r="T59" i="2"/>
  <c r="S59" i="2"/>
  <c r="R59" i="2"/>
  <c r="T58" i="2"/>
  <c r="S58" i="2"/>
  <c r="R58" i="2"/>
  <c r="T57" i="2"/>
  <c r="S57" i="2"/>
  <c r="R57" i="2"/>
  <c r="T56" i="2"/>
  <c r="S56" i="2"/>
  <c r="R56" i="2"/>
  <c r="T55" i="2"/>
  <c r="S55" i="2"/>
  <c r="R55" i="2"/>
  <c r="T54" i="2"/>
  <c r="S54" i="2"/>
  <c r="R54" i="2"/>
  <c r="T53" i="2"/>
  <c r="S53" i="2"/>
  <c r="R53" i="2"/>
  <c r="T52" i="2"/>
  <c r="S52" i="2"/>
  <c r="R52" i="2"/>
  <c r="T51" i="2"/>
  <c r="S51" i="2"/>
  <c r="R51" i="2"/>
  <c r="T50" i="2"/>
  <c r="S50" i="2"/>
  <c r="R50" i="2"/>
  <c r="T49" i="2"/>
  <c r="S49" i="2"/>
  <c r="R49" i="2"/>
  <c r="T48" i="2"/>
  <c r="S48" i="2"/>
  <c r="R48" i="2"/>
  <c r="T47" i="2"/>
  <c r="S47" i="2"/>
  <c r="R47" i="2"/>
  <c r="T46" i="2"/>
  <c r="S46" i="2"/>
  <c r="R46" i="2"/>
  <c r="T45" i="2"/>
  <c r="S45" i="2"/>
  <c r="R45" i="2"/>
  <c r="T44" i="2"/>
  <c r="S44" i="2"/>
  <c r="R44" i="2"/>
  <c r="T43" i="2"/>
  <c r="S43" i="2"/>
  <c r="R43" i="2"/>
  <c r="T42" i="2"/>
  <c r="S42" i="2"/>
  <c r="R42" i="2"/>
  <c r="T41" i="2"/>
  <c r="S41" i="2"/>
  <c r="R41" i="2"/>
  <c r="T40" i="2"/>
  <c r="S40" i="2"/>
  <c r="R40" i="2"/>
  <c r="T39" i="2"/>
  <c r="S39" i="2"/>
  <c r="R39" i="2"/>
  <c r="T33" i="2"/>
  <c r="S33" i="2"/>
  <c r="R33" i="2"/>
  <c r="T32" i="2"/>
  <c r="S32" i="2"/>
  <c r="R32" i="2"/>
  <c r="T38" i="2"/>
  <c r="S38" i="2"/>
  <c r="R38" i="2"/>
  <c r="T37" i="2"/>
  <c r="S37" i="2"/>
  <c r="R37" i="2"/>
  <c r="T36" i="2"/>
  <c r="S36" i="2"/>
  <c r="R36" i="2"/>
  <c r="T35" i="2"/>
  <c r="S35" i="2"/>
  <c r="R35" i="2"/>
  <c r="T34" i="2"/>
  <c r="S34" i="2"/>
  <c r="R34" i="2"/>
  <c r="T31" i="2"/>
  <c r="S31" i="2"/>
  <c r="R31" i="2"/>
  <c r="T30" i="2"/>
  <c r="S30" i="2"/>
  <c r="R30" i="2"/>
  <c r="T29" i="2"/>
  <c r="S29" i="2"/>
  <c r="R29" i="2"/>
  <c r="T28" i="2"/>
  <c r="S28" i="2"/>
  <c r="R28" i="2"/>
  <c r="T27" i="2"/>
  <c r="S27" i="2"/>
  <c r="R27" i="2"/>
  <c r="T26" i="2"/>
  <c r="S26" i="2"/>
  <c r="R26" i="2"/>
  <c r="T25" i="2"/>
  <c r="S25" i="2"/>
  <c r="R25" i="2"/>
  <c r="T24" i="2"/>
  <c r="S24" i="2"/>
  <c r="R24" i="2"/>
  <c r="T23" i="2"/>
  <c r="S23" i="2"/>
  <c r="R23" i="2"/>
  <c r="T22" i="2"/>
  <c r="S22" i="2"/>
  <c r="R22" i="2"/>
  <c r="T21" i="2"/>
  <c r="S21" i="2"/>
  <c r="R21" i="2"/>
  <c r="T20" i="2"/>
  <c r="S20" i="2"/>
  <c r="R20" i="2"/>
  <c r="T19" i="2"/>
  <c r="S19" i="2"/>
  <c r="R19" i="2"/>
  <c r="T18" i="2"/>
  <c r="S18" i="2"/>
  <c r="R18" i="2"/>
  <c r="T17" i="2"/>
  <c r="S17" i="2"/>
  <c r="R17" i="2"/>
  <c r="T16" i="2"/>
  <c r="S16" i="2"/>
  <c r="R16" i="2"/>
  <c r="T15" i="2"/>
  <c r="S15" i="2"/>
  <c r="R15" i="2"/>
  <c r="T14" i="2"/>
  <c r="S14" i="2"/>
  <c r="R14" i="2"/>
  <c r="T13" i="2"/>
  <c r="S13" i="2"/>
  <c r="R13" i="2"/>
  <c r="T12" i="2"/>
  <c r="S12" i="2"/>
  <c r="R12" i="2"/>
  <c r="T11" i="2"/>
  <c r="S11" i="2"/>
  <c r="R11" i="2"/>
  <c r="T10" i="2"/>
  <c r="S10" i="2"/>
  <c r="R10" i="2"/>
  <c r="T9" i="2"/>
  <c r="S9" i="2"/>
  <c r="R9" i="2"/>
  <c r="T8" i="2"/>
  <c r="S8" i="2"/>
  <c r="R8" i="2"/>
  <c r="T7" i="2"/>
  <c r="S7" i="2"/>
  <c r="R7" i="2"/>
  <c r="E7" i="2"/>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E30" i="2" s="1"/>
  <c r="E31" i="2" s="1"/>
  <c r="T6" i="2"/>
  <c r="S6" i="2"/>
  <c r="R6" i="2"/>
  <c r="W100" i="2" l="1"/>
  <c r="X100" i="2" s="1"/>
  <c r="U100" i="2" s="1"/>
  <c r="W98" i="2"/>
  <c r="X98" i="2" s="1"/>
  <c r="U98" i="2" s="1"/>
  <c r="W101" i="2"/>
  <c r="X101" i="2" s="1"/>
  <c r="U101" i="2" s="1"/>
  <c r="W99" i="2"/>
  <c r="X99" i="2" s="1"/>
  <c r="U99" i="2" s="1"/>
  <c r="W63" i="2"/>
  <c r="X63" i="2" s="1"/>
  <c r="U63" i="2" s="1"/>
  <c r="W71" i="2"/>
  <c r="X71" i="2" s="1"/>
  <c r="U71" i="2" s="1"/>
  <c r="W79" i="2"/>
  <c r="X79" i="2" s="1"/>
  <c r="U79" i="2" s="1"/>
  <c r="W87" i="2"/>
  <c r="X87" i="2" s="1"/>
  <c r="U87" i="2" s="1"/>
  <c r="W95" i="2"/>
  <c r="X95" i="2" s="1"/>
  <c r="U95" i="2" s="1"/>
  <c r="W6" i="2"/>
  <c r="X6" i="2" s="1"/>
  <c r="U6" i="2" s="1"/>
  <c r="W8" i="2"/>
  <c r="X8" i="2" s="1"/>
  <c r="U8" i="2" s="1"/>
  <c r="W24" i="2"/>
  <c r="X24" i="2" s="1"/>
  <c r="U24" i="2" s="1"/>
  <c r="W32" i="2"/>
  <c r="X32" i="2" s="1"/>
  <c r="U32" i="2" s="1"/>
  <c r="W45" i="2"/>
  <c r="X45" i="2" s="1"/>
  <c r="U45" i="2" s="1"/>
  <c r="W53" i="2"/>
  <c r="X53" i="2" s="1"/>
  <c r="U53" i="2" s="1"/>
  <c r="W11" i="2"/>
  <c r="X11" i="2" s="1"/>
  <c r="U11" i="2" s="1"/>
  <c r="W27" i="2"/>
  <c r="X27" i="2" s="1"/>
  <c r="U27" i="2" s="1"/>
  <c r="W19" i="2"/>
  <c r="X19" i="2" s="1"/>
  <c r="U19" i="2" s="1"/>
  <c r="W48" i="2"/>
  <c r="X48" i="2" s="1"/>
  <c r="U48" i="2" s="1"/>
  <c r="W83" i="2"/>
  <c r="X83" i="2" s="1"/>
  <c r="U83" i="2" s="1"/>
  <c r="W91" i="2"/>
  <c r="X91" i="2" s="1"/>
  <c r="U91" i="2" s="1"/>
  <c r="W77" i="2"/>
  <c r="X77" i="2" s="1"/>
  <c r="U77" i="2" s="1"/>
  <c r="W93" i="2"/>
  <c r="X93" i="2" s="1"/>
  <c r="U93" i="2" s="1"/>
  <c r="W14" i="2"/>
  <c r="X14" i="2" s="1"/>
  <c r="U14" i="2" s="1"/>
  <c r="W80" i="2"/>
  <c r="X80" i="2" s="1"/>
  <c r="U80" i="2" s="1"/>
  <c r="W88" i="2"/>
  <c r="X88" i="2" s="1"/>
  <c r="U88" i="2" s="1"/>
  <c r="W17" i="2"/>
  <c r="X17" i="2" s="1"/>
  <c r="U17" i="2" s="1"/>
  <c r="W25" i="2"/>
  <c r="X25" i="2" s="1"/>
  <c r="U25" i="2" s="1"/>
  <c r="W54" i="2"/>
  <c r="X54" i="2" s="1"/>
  <c r="U54" i="2" s="1"/>
  <c r="W41" i="2"/>
  <c r="X41" i="2" s="1"/>
  <c r="U41" i="2" s="1"/>
  <c r="W49" i="2"/>
  <c r="X49" i="2" s="1"/>
  <c r="U49" i="2" s="1"/>
  <c r="W57" i="2"/>
  <c r="X57" i="2" s="1"/>
  <c r="U57" i="2" s="1"/>
  <c r="W62" i="2"/>
  <c r="X62" i="2" s="1"/>
  <c r="U62" i="2" s="1"/>
  <c r="W70" i="2"/>
  <c r="X70" i="2" s="1"/>
  <c r="U70" i="2" s="1"/>
  <c r="W78" i="2"/>
  <c r="X78" i="2" s="1"/>
  <c r="U78" i="2" s="1"/>
  <c r="W86" i="2"/>
  <c r="X86" i="2" s="1"/>
  <c r="U86" i="2" s="1"/>
  <c r="W94" i="2"/>
  <c r="X94" i="2" s="1"/>
  <c r="U94" i="2" s="1"/>
  <c r="W21" i="2"/>
  <c r="X21" i="2" s="1"/>
  <c r="U21" i="2" s="1"/>
  <c r="W85" i="2"/>
  <c r="X85" i="2" s="1"/>
  <c r="U85" i="2" s="1"/>
  <c r="W22" i="2"/>
  <c r="X22" i="2" s="1"/>
  <c r="U22" i="2" s="1"/>
  <c r="W30" i="2"/>
  <c r="X30" i="2" s="1"/>
  <c r="U30" i="2" s="1"/>
  <c r="W43" i="2"/>
  <c r="X43" i="2" s="1"/>
  <c r="U43" i="2" s="1"/>
  <c r="W35" i="2"/>
  <c r="X35" i="2" s="1"/>
  <c r="U35" i="2" s="1"/>
  <c r="W33" i="2"/>
  <c r="X33" i="2" s="1"/>
  <c r="U33" i="2" s="1"/>
  <c r="W46" i="2"/>
  <c r="X46" i="2" s="1"/>
  <c r="U46" i="2" s="1"/>
  <c r="W7" i="2"/>
  <c r="X7" i="2" s="1"/>
  <c r="U7" i="2" s="1"/>
  <c r="W12" i="2"/>
  <c r="X12" i="2" s="1"/>
  <c r="U12" i="2" s="1"/>
  <c r="W20" i="2"/>
  <c r="X20" i="2" s="1"/>
  <c r="U20" i="2" s="1"/>
  <c r="W28" i="2"/>
  <c r="X28" i="2" s="1"/>
  <c r="U28" i="2" s="1"/>
  <c r="W15" i="2"/>
  <c r="X15" i="2" s="1"/>
  <c r="U15" i="2" s="1"/>
  <c r="W23" i="2"/>
  <c r="X23" i="2" s="1"/>
  <c r="U23" i="2" s="1"/>
  <c r="W31" i="2"/>
  <c r="X31" i="2" s="1"/>
  <c r="U31" i="2" s="1"/>
  <c r="W38" i="2"/>
  <c r="X38" i="2" s="1"/>
  <c r="U38" i="2" s="1"/>
  <c r="W44" i="2"/>
  <c r="X44" i="2" s="1"/>
  <c r="U44" i="2" s="1"/>
  <c r="W52" i="2"/>
  <c r="X52" i="2" s="1"/>
  <c r="U52" i="2" s="1"/>
  <c r="W65" i="2"/>
  <c r="X65" i="2" s="1"/>
  <c r="U65" i="2" s="1"/>
  <c r="W73" i="2"/>
  <c r="X73" i="2" s="1"/>
  <c r="U73" i="2" s="1"/>
  <c r="W81" i="2"/>
  <c r="X81" i="2" s="1"/>
  <c r="U81" i="2" s="1"/>
  <c r="W89" i="2"/>
  <c r="X89" i="2" s="1"/>
  <c r="U89" i="2" s="1"/>
  <c r="W97" i="2"/>
  <c r="X97" i="2" s="1"/>
  <c r="U97" i="2" s="1"/>
  <c r="W29" i="2"/>
  <c r="X29" i="2" s="1"/>
  <c r="U29" i="2" s="1"/>
  <c r="W61" i="2"/>
  <c r="X61" i="2" s="1"/>
  <c r="U61" i="2" s="1"/>
  <c r="W69" i="2"/>
  <c r="X69" i="2" s="1"/>
  <c r="U69" i="2" s="1"/>
  <c r="W37" i="2"/>
  <c r="X37" i="2" s="1"/>
  <c r="U37" i="2" s="1"/>
  <c r="W51" i="2"/>
  <c r="X51" i="2" s="1"/>
  <c r="U51" i="2" s="1"/>
  <c r="W9" i="2"/>
  <c r="X9" i="2" s="1"/>
  <c r="U9" i="2" s="1"/>
  <c r="W59" i="2"/>
  <c r="X59" i="2" s="1"/>
  <c r="U59" i="2" s="1"/>
  <c r="W67" i="2"/>
  <c r="X67" i="2" s="1"/>
  <c r="U67" i="2" s="1"/>
  <c r="W75" i="2"/>
  <c r="X75" i="2" s="1"/>
  <c r="U75" i="2" s="1"/>
  <c r="W39" i="2"/>
  <c r="X39" i="2" s="1"/>
  <c r="U39" i="2" s="1"/>
  <c r="W47" i="2"/>
  <c r="X47" i="2" s="1"/>
  <c r="U47" i="2" s="1"/>
  <c r="W55" i="2"/>
  <c r="X55" i="2" s="1"/>
  <c r="U55" i="2" s="1"/>
  <c r="W60" i="2"/>
  <c r="X60" i="2" s="1"/>
  <c r="U60" i="2" s="1"/>
  <c r="W68" i="2"/>
  <c r="X68" i="2" s="1"/>
  <c r="U68" i="2" s="1"/>
  <c r="W76" i="2"/>
  <c r="X76" i="2" s="1"/>
  <c r="U76" i="2" s="1"/>
  <c r="W84" i="2"/>
  <c r="X84" i="2" s="1"/>
  <c r="U84" i="2" s="1"/>
  <c r="W92" i="2"/>
  <c r="X92" i="2" s="1"/>
  <c r="U92" i="2" s="1"/>
  <c r="W13" i="2"/>
  <c r="X13" i="2" s="1"/>
  <c r="U13" i="2" s="1"/>
  <c r="W34" i="2"/>
  <c r="X34" i="2" s="1"/>
  <c r="U34" i="2" s="1"/>
  <c r="W56" i="2"/>
  <c r="X56" i="2" s="1"/>
  <c r="U56" i="2" s="1"/>
  <c r="W102" i="2"/>
  <c r="X102" i="2" s="1"/>
  <c r="U102" i="2" s="1"/>
  <c r="W96" i="2"/>
  <c r="X96" i="2" s="1"/>
  <c r="U96" i="2" s="1"/>
  <c r="W72" i="2"/>
  <c r="X72" i="2" s="1"/>
  <c r="U72" i="2" s="1"/>
  <c r="W16" i="2"/>
  <c r="X16" i="2" s="1"/>
  <c r="W40" i="2"/>
  <c r="X40" i="2" s="1"/>
  <c r="U40" i="2" s="1"/>
  <c r="W64" i="2"/>
  <c r="X64" i="2" s="1"/>
  <c r="U64" i="2" s="1"/>
  <c r="W42" i="2"/>
  <c r="X42" i="2" s="1"/>
  <c r="U42" i="2" s="1"/>
  <c r="W50" i="2"/>
  <c r="X50" i="2" s="1"/>
  <c r="U50" i="2" s="1"/>
  <c r="W58" i="2"/>
  <c r="X58" i="2" s="1"/>
  <c r="U58" i="2" s="1"/>
  <c r="W66" i="2"/>
  <c r="X66" i="2" s="1"/>
  <c r="U66" i="2" s="1"/>
  <c r="W74" i="2"/>
  <c r="X74" i="2" s="1"/>
  <c r="U74" i="2" s="1"/>
  <c r="W18" i="2"/>
  <c r="X18" i="2" s="1"/>
  <c r="W82" i="2"/>
  <c r="X82" i="2" s="1"/>
  <c r="U82" i="2" s="1"/>
  <c r="W90" i="2"/>
  <c r="X90" i="2" s="1"/>
  <c r="U90" i="2" s="1"/>
  <c r="W26" i="2"/>
  <c r="X26" i="2" s="1"/>
  <c r="U26" i="2" s="1"/>
  <c r="W10" i="2"/>
  <c r="X10" i="2" s="1"/>
  <c r="U10" i="2" s="1"/>
  <c r="W36" i="2"/>
  <c r="X36" i="2" s="1"/>
  <c r="U36" i="2" s="1"/>
  <c r="U18" i="2" l="1"/>
  <c r="X110" i="2"/>
  <c r="X109" i="2"/>
  <c r="X112" i="2"/>
  <c r="X113" i="2"/>
  <c r="X114" i="2"/>
  <c r="X106" i="2"/>
  <c r="X108" i="2"/>
  <c r="X107" i="2"/>
  <c r="U16" i="2"/>
  <c r="X105" i="2"/>
  <c r="E35" i="2" l="1"/>
  <c r="E36" i="2" s="1"/>
  <c r="E37" i="2" s="1"/>
  <c r="E38" i="2" s="1"/>
  <c r="E39" i="2" s="1"/>
  <c r="E40" i="2" s="1"/>
  <c r="E41" i="2" s="1"/>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alcChain>
</file>

<file path=xl/sharedStrings.xml><?xml version="1.0" encoding="utf-8"?>
<sst xmlns="http://schemas.openxmlformats.org/spreadsheetml/2006/main" count="4839" uniqueCount="689">
  <si>
    <t>Default state</t>
    <phoneticPr fontId="3" type="noConversion"/>
  </si>
  <si>
    <t>Extension address
(0xc2380000)</t>
    <phoneticPr fontId="3" type="noConversion"/>
  </si>
  <si>
    <t>Pinmux mode</t>
    <phoneticPr fontId="1" type="noConversion"/>
  </si>
  <si>
    <t>PULL UP/DOWN</t>
    <phoneticPr fontId="1" type="noConversion"/>
  </si>
  <si>
    <t>Output Driving</t>
    <phoneticPr fontId="3" type="noConversion"/>
  </si>
  <si>
    <t>Mode0</t>
  </si>
  <si>
    <t>DIR</t>
  </si>
  <si>
    <t>Mode1</t>
  </si>
  <si>
    <t>Mode2</t>
  </si>
  <si>
    <t>Mode3</t>
  </si>
  <si>
    <t>Mode4</t>
  </si>
  <si>
    <t>Mode5</t>
  </si>
  <si>
    <t>Mode6</t>
  </si>
  <si>
    <t>SPI_WP_N</t>
  </si>
  <si>
    <t>PIN_PULL_NONE</t>
  </si>
  <si>
    <t>PIN_DRIVING_12MA</t>
  </si>
  <si>
    <t>I2C2_CLK</t>
  </si>
  <si>
    <t>SPI_HOLD_N</t>
  </si>
  <si>
    <t>PIN_MODE_0</t>
  </si>
  <si>
    <t>I2C2_DATA</t>
  </si>
  <si>
    <t>X_JTAG_TRST_N</t>
  </si>
  <si>
    <t>UART0_RX</t>
  </si>
  <si>
    <t>I2C0_CLK</t>
  </si>
  <si>
    <t>X_JTAG_TDI</t>
  </si>
  <si>
    <t>UART0_TX</t>
  </si>
  <si>
    <t>I2C0_DATA</t>
  </si>
  <si>
    <t>X_JTAG_SWDITMS</t>
  </si>
  <si>
    <t>I2C1_CLK</t>
  </si>
  <si>
    <t>X_JTAG_SWCLKTCK</t>
  </si>
  <si>
    <t>I2C1_DATA</t>
  </si>
  <si>
    <t>X_JTAG_TDO</t>
  </si>
  <si>
    <t>X_LC_PCLK</t>
    <phoneticPr fontId="3" type="noConversion"/>
  </si>
  <si>
    <t>I</t>
  </si>
  <si>
    <t>X_LC_VS</t>
    <phoneticPr fontId="3" type="noConversion"/>
  </si>
  <si>
    <t>X_LC_HS</t>
    <phoneticPr fontId="3" type="noConversion"/>
  </si>
  <si>
    <t>X_LC_DE</t>
    <phoneticPr fontId="3" type="noConversion"/>
  </si>
  <si>
    <t>X_LC_DATA_0</t>
    <phoneticPr fontId="3" type="noConversion"/>
  </si>
  <si>
    <t>O</t>
  </si>
  <si>
    <t>X_LC_DATA_1</t>
    <phoneticPr fontId="3" type="noConversion"/>
  </si>
  <si>
    <t>X_LC_DATA_2</t>
    <phoneticPr fontId="3" type="noConversion"/>
  </si>
  <si>
    <t>X_LC_DATA_3</t>
    <phoneticPr fontId="3" type="noConversion"/>
  </si>
  <si>
    <t>X_LC_DATA_4</t>
    <phoneticPr fontId="3" type="noConversion"/>
  </si>
  <si>
    <t>X_LC_DATA_5</t>
    <phoneticPr fontId="3" type="noConversion"/>
  </si>
  <si>
    <t>X_LC_DATA_6</t>
    <phoneticPr fontId="3" type="noConversion"/>
  </si>
  <si>
    <t>X_LC_DATA_7</t>
    <phoneticPr fontId="3" type="noConversion"/>
  </si>
  <si>
    <t>X_LC_DATA_8</t>
    <phoneticPr fontId="3" type="noConversion"/>
  </si>
  <si>
    <t>X_LC_DATA_9</t>
    <phoneticPr fontId="3" type="noConversion"/>
  </si>
  <si>
    <t>X_LC_DATA_10</t>
    <phoneticPr fontId="3" type="noConversion"/>
  </si>
  <si>
    <t>X_LC_DATA_11</t>
    <phoneticPr fontId="3" type="noConversion"/>
  </si>
  <si>
    <t>X_PWM0</t>
    <phoneticPr fontId="3" type="noConversion"/>
  </si>
  <si>
    <t>PWM0</t>
  </si>
  <si>
    <t>PIN_MODE_1</t>
  </si>
  <si>
    <t>PIN_MODE_2</t>
  </si>
  <si>
    <t>PIN_MODE_3</t>
  </si>
  <si>
    <t>PIN_MODE_4</t>
  </si>
  <si>
    <t>PIN_DRIVING_16MA</t>
  </si>
  <si>
    <t>PIN_MODE_5</t>
  </si>
  <si>
    <t>PIN_MODE_6</t>
  </si>
  <si>
    <t>Low</t>
    <phoneticPr fontId="1" type="noConversion"/>
  </si>
  <si>
    <t>PIN_PULL_NONE</t>
    <phoneticPr fontId="1" type="noConversion"/>
  </si>
  <si>
    <t>PIN_PULL_DOWN</t>
    <phoneticPr fontId="1" type="noConversion"/>
  </si>
  <si>
    <t>PIN_MODE_7</t>
    <phoneticPr fontId="1" type="noConversion"/>
  </si>
  <si>
    <t>[2:0]</t>
    <phoneticPr fontId="1" type="noConversion"/>
  </si>
  <si>
    <t>Comment</t>
    <phoneticPr fontId="1" type="noConversion"/>
  </si>
  <si>
    <t>Reset Default Register Value</t>
    <phoneticPr fontId="3" type="noConversion"/>
  </si>
  <si>
    <t>Register name</t>
    <phoneticPr fontId="3" type="noConversion"/>
  </si>
  <si>
    <t xml:space="preserve">PIN_PULL_UP  </t>
    <phoneticPr fontId="1" type="noConversion"/>
  </si>
  <si>
    <t xml:space="preserve">PIN_DRIVING_4MA </t>
  </si>
  <si>
    <t xml:space="preserve">PIN_DRIVING_8MA </t>
  </si>
  <si>
    <t>GPIO</t>
    <phoneticPr fontId="1" type="noConversion"/>
  </si>
  <si>
    <t>In/Out</t>
    <phoneticPr fontId="1" type="noConversion"/>
  </si>
  <si>
    <t>Interrup Enable</t>
    <phoneticPr fontId="1" type="noConversion"/>
  </si>
  <si>
    <t>Input</t>
    <phoneticPr fontId="1" type="noConversion"/>
  </si>
  <si>
    <t>Output</t>
    <phoneticPr fontId="1" type="noConversion"/>
  </si>
  <si>
    <t>Enable</t>
    <phoneticPr fontId="1" type="noConversion"/>
  </si>
  <si>
    <t>Edge</t>
  </si>
  <si>
    <t>Rise(High)</t>
  </si>
  <si>
    <t>Rise(High)</t>
    <phoneticPr fontId="1" type="noConversion"/>
  </si>
  <si>
    <t>Input</t>
  </si>
  <si>
    <t>Pinmux</t>
    <phoneticPr fontId="1" type="noConversion"/>
  </si>
  <si>
    <t>KDRV_PIN_X_DPI_DATAI10</t>
  </si>
  <si>
    <t>KDRV_PIN_X_DPI_DATAI11</t>
  </si>
  <si>
    <t>KDRV_PIN_X_DPI_DATAI12</t>
  </si>
  <si>
    <t>KDRV_PIN_X_DPI_DATAI13</t>
  </si>
  <si>
    <t>KDRV_PIN_X_DPI_DATAI14</t>
  </si>
  <si>
    <t>KDRV_PIN_X_DPI_DATAI15</t>
  </si>
  <si>
    <t>KDRV_PIN_X_TRACE_DATA0</t>
  </si>
  <si>
    <t>KDRV_PIN_X_TRACE_DATA1</t>
  </si>
  <si>
    <t>KDRV_PIN_X_TRACE_DATA2</t>
  </si>
  <si>
    <t>KDRV_PIN_X_TRACE_DATA3</t>
  </si>
  <si>
    <t>10</t>
  </si>
  <si>
    <t>01</t>
  </si>
  <si>
    <t>[17:16]</t>
    <phoneticPr fontId="1" type="noConversion"/>
  </si>
  <si>
    <t>0x00400000</t>
    <phoneticPr fontId="3" type="noConversion"/>
  </si>
  <si>
    <t>0x0200</t>
    <phoneticPr fontId="1" type="noConversion"/>
  </si>
  <si>
    <t>Mode7</t>
  </si>
  <si>
    <t>DPI_PCLKI</t>
  </si>
  <si>
    <t>DPI_VSI</t>
  </si>
  <si>
    <t>DPI_HSI</t>
  </si>
  <si>
    <t>DPI_DEI</t>
  </si>
  <si>
    <t>DPI_DATAI[0]</t>
  </si>
  <si>
    <t>DPI_DATAI[1]</t>
  </si>
  <si>
    <t>DPI_DATAI[2]</t>
  </si>
  <si>
    <t>DPI_DATAI[3]</t>
  </si>
  <si>
    <t>DPI_DATAI[4]</t>
  </si>
  <si>
    <t>DPI_DATAI[5]</t>
  </si>
  <si>
    <t>DPI_DATAI[6]</t>
  </si>
  <si>
    <t>DPI_DATAI[7]</t>
  </si>
  <si>
    <t>DPI_DATAI[8]</t>
  </si>
  <si>
    <t>DPI_DATAI[9]</t>
  </si>
  <si>
    <t>DPI_DATAI[10]</t>
  </si>
  <si>
    <t>DPI_DATAI[11]</t>
  </si>
  <si>
    <t>DPI_DATAI[12]</t>
  </si>
  <si>
    <t>DPI_DATAI[13]</t>
  </si>
  <si>
    <t>DPI_DATAI[14]</t>
  </si>
  <si>
    <t>DPI_DATAI[15]</t>
  </si>
  <si>
    <t>SPI_CS_N</t>
  </si>
  <si>
    <t>SPI_CLK</t>
  </si>
  <si>
    <t>SPI_DO</t>
  </si>
  <si>
    <t>SPI_DI</t>
  </si>
  <si>
    <t>I/O</t>
  </si>
  <si>
    <t>1’b0</t>
  </si>
  <si>
    <t>CORE_DBG_0</t>
  </si>
  <si>
    <t>PWM1</t>
  </si>
  <si>
    <t>CORE_DBG_1</t>
  </si>
  <si>
    <t>SSP0_CLK</t>
  </si>
  <si>
    <t>SSP0_CS0</t>
  </si>
  <si>
    <t>SSP0_CS1</t>
  </si>
  <si>
    <t>SSP0_DI</t>
  </si>
  <si>
    <t>SSP0_DO</t>
  </si>
  <si>
    <t>UART1_TX</t>
  </si>
  <si>
    <t>CORE_DBG_15</t>
  </si>
  <si>
    <t>UART1_RX</t>
  </si>
  <si>
    <t>CORE_DBG_16</t>
  </si>
  <si>
    <t>MCU_TRACE_CLK</t>
  </si>
  <si>
    <t>UART1_DCD</t>
  </si>
  <si>
    <t>CORE_DBG_17</t>
  </si>
  <si>
    <t>MCU_TRACE_DATA[0]</t>
  </si>
  <si>
    <t>UART1_DTR</t>
  </si>
  <si>
    <t>CORE_DBG_18</t>
  </si>
  <si>
    <t>MCU_TRACE_DATA[1]</t>
  </si>
  <si>
    <t>UART1_DSR</t>
  </si>
  <si>
    <t>CORE_DBG_19</t>
  </si>
  <si>
    <t>MCU_TRACE_DATA[2]</t>
  </si>
  <si>
    <t>UART1_RTS</t>
  </si>
  <si>
    <t>CORE_DBG_20</t>
  </si>
  <si>
    <t>MCU_TRACE_DATA[3]</t>
  </si>
  <si>
    <t>UART1_CTS</t>
  </si>
  <si>
    <t>CORE_DBG_21</t>
  </si>
  <si>
    <t>UART1_RI</t>
  </si>
  <si>
    <t>CORE_DBG_22</t>
  </si>
  <si>
    <t>MCU_JTAG_TRST_N</t>
  </si>
  <si>
    <t>CORE_DBG_2</t>
  </si>
  <si>
    <t>MCU_JTAG_TDI</t>
  </si>
  <si>
    <t>CORE_DBG_3</t>
  </si>
  <si>
    <t>SSP1_CLK</t>
  </si>
  <si>
    <t>DPI_DATAO[13]</t>
  </si>
  <si>
    <t>SSP1_CS</t>
  </si>
  <si>
    <t>DPI_DATAO[14]</t>
  </si>
  <si>
    <t>SSP1_DI</t>
  </si>
  <si>
    <t>DPI_DATAO[15]</t>
  </si>
  <si>
    <t>SSP1_DO</t>
  </si>
  <si>
    <t>DPI_DATAO[16]</t>
  </si>
  <si>
    <t>SSP1_DCX</t>
  </si>
  <si>
    <t>DPI_DATAO[17]</t>
  </si>
  <si>
    <t>DSP_JTAG_TDO</t>
  </si>
  <si>
    <t>DPI_DATAO[12]</t>
  </si>
  <si>
    <t>CORE_DBG_27</t>
  </si>
  <si>
    <t>DPI_PCLKO</t>
  </si>
  <si>
    <t>DPI_VSO</t>
  </si>
  <si>
    <t>DPI_HSO</t>
  </si>
  <si>
    <t>DPI_DEO</t>
  </si>
  <si>
    <t>DPI_DATAO[0]</t>
  </si>
  <si>
    <t>DSP_JTAG_TRST_N</t>
  </si>
  <si>
    <t>DPI_DATAO[1]</t>
  </si>
  <si>
    <t>DSP_JTAG_TDI</t>
  </si>
  <si>
    <t>DPI_DATAO[2]</t>
  </si>
  <si>
    <t>DSP_JTAG_TMS</t>
  </si>
  <si>
    <t>DPI_DATAO[3]</t>
  </si>
  <si>
    <t>DSP_JTAG_TCK</t>
  </si>
  <si>
    <t>DPI_DATAO[4]</t>
  </si>
  <si>
    <t>DPI_DATAO[5]</t>
  </si>
  <si>
    <t>DPI_DATAO[6]</t>
  </si>
  <si>
    <t>DPI_DATAO[7]</t>
  </si>
  <si>
    <t>DPI_DATAO[8]</t>
  </si>
  <si>
    <t>CORE_DBG_28</t>
  </si>
  <si>
    <t>DPI_DATAO[9]</t>
  </si>
  <si>
    <t>CORE_DBG_29</t>
  </si>
  <si>
    <t>DPI_DATAO[10]</t>
  </si>
  <si>
    <t>CORE_DBG_30</t>
  </si>
  <si>
    <t>DPI_DATAO[11]</t>
  </si>
  <si>
    <t>CORE_DBG_31</t>
  </si>
  <si>
    <t>UART0_IRDA_RX_H</t>
  </si>
  <si>
    <t>MCU_JTAG_TMS</t>
  </si>
  <si>
    <t>CORE_DBG_4</t>
  </si>
  <si>
    <t>UART0_IRDA_RX_L</t>
  </si>
  <si>
    <t>MCU_JTAG_TCK</t>
  </si>
  <si>
    <t>CORE_DBG_5</t>
  </si>
  <si>
    <t>CORE_DBG_10</t>
  </si>
  <si>
    <t>CORE_DBG_11</t>
  </si>
  <si>
    <t>CORE_DBG_12</t>
  </si>
  <si>
    <t>CORE_DBG_13</t>
  </si>
  <si>
    <t>UART0_IRDA_TX</t>
  </si>
  <si>
    <t>MCU_JTAG_TDO</t>
  </si>
  <si>
    <t>CORE_DBG_14</t>
  </si>
  <si>
    <t>CORE_DBG_26</t>
  </si>
  <si>
    <t>HSPI_CLK</t>
  </si>
  <si>
    <t>CORE_DBG_6</t>
  </si>
  <si>
    <t>HSPI_CS</t>
  </si>
  <si>
    <t>CORE_DBG_7</t>
  </si>
  <si>
    <t>HSPI_DI</t>
  </si>
  <si>
    <t>CORE_DBG_8</t>
  </si>
  <si>
    <t>HSPI_DO</t>
  </si>
  <si>
    <t>CORE_DBG_9</t>
  </si>
  <si>
    <t>SD1_D3</t>
  </si>
  <si>
    <t>SD1_D2</t>
  </si>
  <si>
    <t>SD1_D1</t>
  </si>
  <si>
    <t>SD1_D0</t>
  </si>
  <si>
    <t>SD1_CMD</t>
  </si>
  <si>
    <t>SD1_CLK</t>
  </si>
  <si>
    <t>SD0_D3</t>
  </si>
  <si>
    <t>SD0_D2</t>
  </si>
  <si>
    <t>SD0_D1</t>
  </si>
  <si>
    <t>SD0_D0</t>
  </si>
  <si>
    <t>SD0_CMD</t>
  </si>
  <si>
    <t>SD0_CLK</t>
  </si>
  <si>
    <t>SD0_CARD_PWREN</t>
  </si>
  <si>
    <t>CORE_DBG_23</t>
  </si>
  <si>
    <t>SD0_CARD_DET</t>
  </si>
  <si>
    <t>CORE_DBG_24</t>
  </si>
  <si>
    <t>PIN_MODE_7</t>
  </si>
  <si>
    <t>Output</t>
  </si>
  <si>
    <t>[22:21]</t>
    <phoneticPr fontId="1" type="noConversion"/>
  </si>
  <si>
    <t>SD0_W_PORT</t>
  </si>
  <si>
    <t>CORE_DBG_25</t>
  </si>
  <si>
    <t>Low</t>
  </si>
  <si>
    <t>Disable</t>
  </si>
  <si>
    <t>High</t>
  </si>
  <si>
    <t>KL720 pin number</t>
    <phoneticPr fontId="3" type="noConversion"/>
  </si>
  <si>
    <t>58</t>
  </si>
  <si>
    <t>59</t>
  </si>
  <si>
    <t>60</t>
  </si>
  <si>
    <t>61</t>
  </si>
  <si>
    <t>62</t>
  </si>
  <si>
    <t>63</t>
  </si>
  <si>
    <t>64</t>
  </si>
  <si>
    <t>65</t>
  </si>
  <si>
    <t>66</t>
  </si>
  <si>
    <t>67</t>
  </si>
  <si>
    <t>68</t>
  </si>
  <si>
    <t>69</t>
  </si>
  <si>
    <t>70</t>
  </si>
  <si>
    <t>71</t>
  </si>
  <si>
    <t>72</t>
  </si>
  <si>
    <t>73</t>
  </si>
  <si>
    <t>74</t>
  </si>
  <si>
    <t>75</t>
  </si>
  <si>
    <t>76</t>
  </si>
  <si>
    <t>77</t>
  </si>
  <si>
    <t>14</t>
  </si>
  <si>
    <t>15</t>
  </si>
  <si>
    <t>16</t>
  </si>
  <si>
    <t>17</t>
  </si>
  <si>
    <t>18</t>
  </si>
  <si>
    <t>33</t>
  </si>
  <si>
    <t>34</t>
  </si>
  <si>
    <t>35</t>
  </si>
  <si>
    <t>36</t>
  </si>
  <si>
    <t>37</t>
  </si>
  <si>
    <t>38</t>
  </si>
  <si>
    <t>39</t>
  </si>
  <si>
    <t>40</t>
  </si>
  <si>
    <t>19</t>
  </si>
  <si>
    <t>20</t>
  </si>
  <si>
    <t>21</t>
  </si>
  <si>
    <t>22</t>
  </si>
  <si>
    <t>23</t>
  </si>
  <si>
    <t>57</t>
  </si>
  <si>
    <t>78</t>
  </si>
  <si>
    <t>79</t>
  </si>
  <si>
    <t>80</t>
  </si>
  <si>
    <t>81</t>
  </si>
  <si>
    <t>82</t>
  </si>
  <si>
    <t>83</t>
  </si>
  <si>
    <t>84</t>
  </si>
  <si>
    <t>85</t>
  </si>
  <si>
    <t>86</t>
  </si>
  <si>
    <t>87</t>
  </si>
  <si>
    <t>88</t>
  </si>
  <si>
    <t>89</t>
  </si>
  <si>
    <t>90</t>
  </si>
  <si>
    <t>91</t>
  </si>
  <si>
    <t>92</t>
  </si>
  <si>
    <t>93</t>
  </si>
  <si>
    <t>11</t>
  </si>
  <si>
    <t>12</t>
  </si>
  <si>
    <t>28</t>
  </si>
  <si>
    <t>29</t>
  </si>
  <si>
    <t>30</t>
  </si>
  <si>
    <t>31</t>
  </si>
  <si>
    <t>32</t>
  </si>
  <si>
    <t>56</t>
  </si>
  <si>
    <t>24</t>
  </si>
  <si>
    <t>25</t>
  </si>
  <si>
    <t>26</t>
  </si>
  <si>
    <t>27</t>
  </si>
  <si>
    <t>41</t>
  </si>
  <si>
    <t>42</t>
  </si>
  <si>
    <t>43</t>
  </si>
  <si>
    <t>44</t>
  </si>
  <si>
    <t>45</t>
  </si>
  <si>
    <t>46</t>
  </si>
  <si>
    <t>47</t>
  </si>
  <si>
    <t>48</t>
  </si>
  <si>
    <t>49</t>
  </si>
  <si>
    <t>50</t>
  </si>
  <si>
    <t>51</t>
  </si>
  <si>
    <t>52</t>
  </si>
  <si>
    <t>53</t>
  </si>
  <si>
    <t>54</t>
  </si>
  <si>
    <t>55</t>
  </si>
  <si>
    <t>YES</t>
  </si>
  <si>
    <t>YES</t>
    <phoneticPr fontId="1" type="noConversion"/>
  </si>
  <si>
    <t>NO</t>
  </si>
  <si>
    <t>NO</t>
    <phoneticPr fontId="1" type="noConversion"/>
  </si>
  <si>
    <t>Activate</t>
    <phoneticPr fontId="1" type="noConversion"/>
  </si>
  <si>
    <t>02</t>
  </si>
  <si>
    <t>03</t>
  </si>
  <si>
    <t>04</t>
  </si>
  <si>
    <t>05</t>
  </si>
  <si>
    <t>06</t>
  </si>
  <si>
    <t>07</t>
  </si>
  <si>
    <t>08</t>
  </si>
  <si>
    <t>09</t>
  </si>
  <si>
    <t>Direction</t>
    <phoneticPr fontId="1" type="noConversion"/>
  </si>
  <si>
    <t>HW default</t>
    <phoneticPr fontId="1" type="noConversion"/>
  </si>
  <si>
    <t>Reset For 720ev_9x9_default</t>
    <phoneticPr fontId="1" type="noConversion"/>
  </si>
  <si>
    <t>KDRV_PIN_X_SPI_CS_N</t>
  </si>
  <si>
    <t>KDRV_PIN_X_SPI_CLK</t>
  </si>
  <si>
    <t>KDRV_PIN_X_SPI_DO</t>
  </si>
  <si>
    <t>KDRV_PIN_X_SPI_DI</t>
  </si>
  <si>
    <t>KDRV_PIN_X_SPI_WP_N</t>
  </si>
  <si>
    <t>KDRV_PIN_X_SPI_HOLD_N</t>
  </si>
  <si>
    <t>KDRV_PIN_X_I2C0_CLK</t>
  </si>
  <si>
    <t>KDRV_PIN_X_I2C0_DATA</t>
  </si>
  <si>
    <t>KDRV_PIN_X_I2C1_DATA</t>
  </si>
  <si>
    <t>KDRV_PIN_X_I2C2_CLK</t>
  </si>
  <si>
    <t>KDRV_PIN_X_I2C2_DATA</t>
  </si>
  <si>
    <t>KDRV_PIN_X_SSP0_CLK</t>
  </si>
  <si>
    <t>KDRV_PIN_X_SSP0_CS1</t>
  </si>
  <si>
    <t>KDRV_PIN_X_SSP0_DI</t>
  </si>
  <si>
    <t>KDRV_PIN_X_SSP0_DO</t>
  </si>
  <si>
    <t>KDRV_PIN_X_SSP1_CLK</t>
  </si>
  <si>
    <t>KDRV_PIN_X_SSP1_CS</t>
  </si>
  <si>
    <t>KDRV_PIN_X_SSP1_DI</t>
  </si>
  <si>
    <t>KDRV_PIN_X_SSP1_DO</t>
  </si>
  <si>
    <t>KDRV_PIN_X_JTAG_TRSTN</t>
  </si>
  <si>
    <t>KDRV_PIN_X_JTAG_TDI</t>
  </si>
  <si>
    <t>KDRV_PIN_X_JTAG_TMS</t>
  </si>
  <si>
    <t>KDRV_PIN_X_JTAG_TCK</t>
  </si>
  <si>
    <t>KDRV_PIN_X_DSP_TRSTN</t>
  </si>
  <si>
    <t>KDRV_PIN_X_DSP_TDI</t>
  </si>
  <si>
    <t>KDRV_PIN_X_DSP_TDO</t>
  </si>
  <si>
    <t>KDRV_PIN_X_DSP_TMS</t>
  </si>
  <si>
    <t>KDRV_PIN_X_DSP_TCK</t>
  </si>
  <si>
    <t>KDRV_PIN_X_UART0_TX</t>
  </si>
  <si>
    <t>KDRV_PIN_X_UART0_RX</t>
  </si>
  <si>
    <t>KDRV_PIN_X_TRACE_CLK</t>
  </si>
  <si>
    <t>KDRV_PIN_X_UART1_RI</t>
  </si>
  <si>
    <t>KDRV_PIN_X_SD1_D3</t>
  </si>
  <si>
    <t>KDRV_PIN_X_SD1_D2</t>
  </si>
  <si>
    <t>KDRV_PIN_X_SD1_D1</t>
  </si>
  <si>
    <t>KDRV_PIN_X_SD1_D0</t>
  </si>
  <si>
    <t>KDRV_PIN_X_SD1_CMD</t>
  </si>
  <si>
    <t>KDRV_PIN_X_SD1_CLK</t>
  </si>
  <si>
    <t>KDRV_PIN_X_SD0_D3</t>
  </si>
  <si>
    <t>KDRV_PIN_X_SD0_D2</t>
  </si>
  <si>
    <t>KDRV_PIN_X_SD0_D1</t>
  </si>
  <si>
    <t>KDRV_PIN_X_SD0_D0</t>
  </si>
  <si>
    <t>KDRV_PIN_X_SD0_CMD</t>
  </si>
  <si>
    <t>KDRV_PIN_X_SD0_CLK</t>
  </si>
  <si>
    <t>KDRV_PIN_X_SD0_CARD_PWN</t>
  </si>
  <si>
    <t>KDRV_PIN_X_SD0_CARD_DET</t>
  </si>
  <si>
    <t>KDRV_PIN_X_JTAG_TDO</t>
  </si>
  <si>
    <t>KDRV_PIN_X_PWM0</t>
  </si>
  <si>
    <t>KDRV_PIN_X_PWM1</t>
  </si>
  <si>
    <t>KDRV_PIN_X_DPI_PCLKI</t>
  </si>
  <si>
    <t>KDRV_PIN_X_DPI_VSI</t>
  </si>
  <si>
    <t>KDRV_PIN_X_DPI_HSI</t>
  </si>
  <si>
    <t>KDRV_PIN_X_DPI_DEI</t>
  </si>
  <si>
    <t>KDRV_PIN_X_DPI_DATAI0</t>
  </si>
  <si>
    <t>KDRV_PIN_X_DPI_DATAI1</t>
  </si>
  <si>
    <t>KDRV_PIN_X_DPI_DATAI2</t>
  </si>
  <si>
    <t>KDRV_PIN_X_DPI_DATAI3</t>
  </si>
  <si>
    <t>KDRV_PIN_X_DPI_DATAI4</t>
  </si>
  <si>
    <t>KDRV_PIN_X_DPI_DATAI5</t>
  </si>
  <si>
    <t>KDRV_PIN_X_DPI_DATAI6</t>
  </si>
  <si>
    <t>KDRV_PIN_X_DPI_DATAI7</t>
  </si>
  <si>
    <t>KDRV_PIN_X_DPI_DATAI8</t>
  </si>
  <si>
    <t>KDRV_PIN_X_DPI_DATAI9</t>
  </si>
  <si>
    <t>KDRV_PIN_X_DPI_PCLKO</t>
  </si>
  <si>
    <t>KDRV_PIN_X_DPI_VSO</t>
  </si>
  <si>
    <t>KDRV_PIN_X_DPI_HSO</t>
  </si>
  <si>
    <t>KDRV_PIN_X_DPI_DEO</t>
  </si>
  <si>
    <t>KDRV_PIN_X_DPI_DATAO0</t>
  </si>
  <si>
    <t>KDRV_PIN_X_DPI_DATAO1</t>
  </si>
  <si>
    <t>KDRV_PIN_X_DPI_DATAO2</t>
  </si>
  <si>
    <t>KDRV_PIN_X_DPI_DATAO3</t>
  </si>
  <si>
    <t>KDRV_PIN_X_DPI_DATAO4</t>
  </si>
  <si>
    <t>KDRV_PIN_X_DPI_DATAO5</t>
  </si>
  <si>
    <t>KDRV_PIN_X_DPI_DATAO6</t>
  </si>
  <si>
    <t>KDRV_PIN_X_DPI_DATAO7</t>
  </si>
  <si>
    <t>KDRV_PIN_X_DPI_DATAO8</t>
  </si>
  <si>
    <t>KDRV_PIN_X_PI_DATAO11</t>
  </si>
  <si>
    <t>default setting</t>
    <phoneticPr fontId="1" type="noConversion"/>
  </si>
  <si>
    <t>GPIO_*</t>
    <phoneticPr fontId="1" type="noConversion"/>
  </si>
  <si>
    <t>SPI_*</t>
    <phoneticPr fontId="1" type="noConversion"/>
  </si>
  <si>
    <t>DPI_DATAI</t>
    <phoneticPr fontId="1" type="noConversion"/>
  </si>
  <si>
    <t>DPI_DATAO</t>
    <phoneticPr fontId="1" type="noConversion"/>
  </si>
  <si>
    <t>I2C_*</t>
    <phoneticPr fontId="1" type="noConversion"/>
  </si>
  <si>
    <t>I2C*</t>
    <phoneticPr fontId="1" type="noConversion"/>
  </si>
  <si>
    <t>UART*</t>
    <phoneticPr fontId="1" type="noConversion"/>
  </si>
  <si>
    <t>PWM*</t>
    <phoneticPr fontId="1" type="noConversion"/>
  </si>
  <si>
    <t>SSP0_CLK</t>
    <phoneticPr fontId="1" type="noConversion"/>
  </si>
  <si>
    <t>SSP*</t>
    <phoneticPr fontId="1" type="noConversion"/>
  </si>
  <si>
    <t xml:space="preserve">Default High/Low </t>
    <phoneticPr fontId="1" type="noConversion"/>
  </si>
  <si>
    <t>EdgeRise</t>
    <phoneticPr fontId="1" type="noConversion"/>
  </si>
  <si>
    <t>EdgeFall</t>
    <phoneticPr fontId="1" type="noConversion"/>
  </si>
  <si>
    <t>EdgeBoth</t>
    <phoneticPr fontId="1" type="noConversion"/>
  </si>
  <si>
    <t xml:space="preserve">None    </t>
  </si>
  <si>
    <t xml:space="preserve">None    </t>
    <phoneticPr fontId="1" type="noConversion"/>
  </si>
  <si>
    <t xml:space="preserve">Fall(Low) </t>
    <phoneticPr fontId="1" type="noConversion"/>
  </si>
  <si>
    <t xml:space="preserve">None      </t>
  </si>
  <si>
    <t xml:space="preserve">None      </t>
    <phoneticPr fontId="1" type="noConversion"/>
  </si>
  <si>
    <t>SPI_CLK</t>
    <phoneticPr fontId="1" type="noConversion"/>
  </si>
  <si>
    <t>KDRV_PIN_X_DPI_DATAO9</t>
    <phoneticPr fontId="1" type="noConversion"/>
  </si>
  <si>
    <t>KDRV_PIN_X_DPI_DATAO10</t>
    <phoneticPr fontId="1" type="noConversion"/>
  </si>
  <si>
    <t>KDRV_PIN_X_SSP0_CS0</t>
    <phoneticPr fontId="1" type="noConversion"/>
  </si>
  <si>
    <t>KDRV_PIN_X_I2C1_CLK</t>
    <phoneticPr fontId="1" type="noConversion"/>
  </si>
  <si>
    <t>GPIO_PIN_0</t>
  </si>
  <si>
    <t>GPIO_PIN_1</t>
  </si>
  <si>
    <t>GPIO_PIN_2</t>
  </si>
  <si>
    <t>GPIO_PIN_3</t>
  </si>
  <si>
    <t>GPIO_PIN_4</t>
  </si>
  <si>
    <t>GPIO_PIN_5</t>
  </si>
  <si>
    <t>GPIO_PIN_6</t>
  </si>
  <si>
    <t>GPIO_PIN_7</t>
  </si>
  <si>
    <t>GPIO_PIN_8</t>
  </si>
  <si>
    <t>GPIO_PIN_9</t>
  </si>
  <si>
    <t>GPIO_PIN_10</t>
  </si>
  <si>
    <t>GPIO_PIN_11</t>
  </si>
  <si>
    <t>GPIO_PIN_12</t>
  </si>
  <si>
    <t>GPIO_PIN_13</t>
  </si>
  <si>
    <t>GPIO_PIN_14</t>
  </si>
  <si>
    <t>GPIO_PIN_15</t>
  </si>
  <si>
    <t>GPIO_PIN_16</t>
  </si>
  <si>
    <t>GPIO_PIN_17</t>
  </si>
  <si>
    <t>GPIO_PIN_18</t>
  </si>
  <si>
    <t>GPIO_PIN_19</t>
  </si>
  <si>
    <t>GPIO_PIN_20</t>
  </si>
  <si>
    <t>GPIO_PIN_21</t>
  </si>
  <si>
    <t>GPIO_PIN_22</t>
  </si>
  <si>
    <t>GPIO_PIN_23</t>
  </si>
  <si>
    <t>GPIO_PIN_24</t>
  </si>
  <si>
    <t>GPIO_PIN_25</t>
  </si>
  <si>
    <t>GPIO_PIN_26</t>
  </si>
  <si>
    <t>GPIO_PIN_27</t>
  </si>
  <si>
    <t>GPIO_PIN_28</t>
  </si>
  <si>
    <t>GPIO_PIN_29</t>
  </si>
  <si>
    <t>GPIO_PIN_30</t>
  </si>
  <si>
    <t>GPIO_PIN_31</t>
  </si>
  <si>
    <t>Disable</t>
    <phoneticPr fontId="1" type="noConversion"/>
  </si>
  <si>
    <t>KDRV_PIN_X_SSP1_DCX</t>
    <phoneticPr fontId="1" type="noConversion"/>
  </si>
  <si>
    <t>Asic</t>
    <phoneticPr fontId="1" type="noConversion"/>
  </si>
  <si>
    <t>Board</t>
    <phoneticPr fontId="1" type="noConversion"/>
  </si>
  <si>
    <t>Peripherals Requirement</t>
    <phoneticPr fontId="1" type="noConversion"/>
  </si>
  <si>
    <t>#define</t>
  </si>
  <si>
    <t>SENSOR_ID_HMX2056</t>
  </si>
  <si>
    <t>SENSOR_ID_OV9286</t>
  </si>
  <si>
    <t>SENSOR_ID_HMXRICA</t>
  </si>
  <si>
    <t>SENSOR_ID_GC2145</t>
  </si>
  <si>
    <t>SENSOR_ID_SC132GS</t>
  </si>
  <si>
    <t>DISPLAY_DEVICE_LCDC</t>
  </si>
  <si>
    <t>DISPLAY_DEVICE_LCM</t>
  </si>
  <si>
    <t>CFG_AI_3D_LIVENESS_IN_NONE</t>
  </si>
  <si>
    <t>CFG_AI_3D_LIVENESS_IN_SCPU</t>
  </si>
  <si>
    <t>CFG_AI_3D_LIVENESS_IN_NCPU</t>
  </si>
  <si>
    <t>SENSOR_COM_I2C</t>
  </si>
  <si>
    <t>SENSOR_COM_SPI</t>
  </si>
  <si>
    <t>DISPLAY_PANEL_MZT_480X272</t>
  </si>
  <si>
    <t>DISPLAY_PANEL_ST7789_240X320</t>
  </si>
  <si>
    <t>DISPLAY_DEVICE</t>
  </si>
  <si>
    <t>DISPLAY_PANEL</t>
  </si>
  <si>
    <t>CFG_AI</t>
  </si>
  <si>
    <t>Int level trigger
(High/Low)</t>
    <phoneticPr fontId="1" type="noConversion"/>
  </si>
  <si>
    <t>Int edge trigger
(Rise/Fall/Both)</t>
    <phoneticPr fontId="1" type="noConversion"/>
  </si>
  <si>
    <t>0X01</t>
  </si>
  <si>
    <t>0X02</t>
  </si>
  <si>
    <t>0X11</t>
  </si>
  <si>
    <t>0X12</t>
  </si>
  <si>
    <t>0X21</t>
  </si>
  <si>
    <t>//8MBYTES</t>
  </si>
  <si>
    <t>//16MBYTES</t>
  </si>
  <si>
    <t>//32MBYTES</t>
  </si>
  <si>
    <t>//64MBYTES</t>
  </si>
  <si>
    <t>//128MBYTES</t>
  </si>
  <si>
    <t>//256MBYTES</t>
  </si>
  <si>
    <t>//512MBYTES</t>
  </si>
  <si>
    <t>FLASH_COMM_SPEED_25MHZ</t>
  </si>
  <si>
    <t>FLASH_COMM_SPEED_50MHZ</t>
  </si>
  <si>
    <t>FLASH_COMM_SPEED_100MHZ</t>
  </si>
  <si>
    <t>FLASH_COMM</t>
  </si>
  <si>
    <t>FLASH_TYPE_WINBOND_NOR</t>
  </si>
  <si>
    <t>FLASH_TYPE_WINBOND_NAND</t>
  </si>
  <si>
    <t>FLASH_TYPE_MXIC_NOR</t>
  </si>
  <si>
    <t>FLASH_TYPE_MXIC_NAND</t>
  </si>
  <si>
    <t>FLASH_TYPE_GIGADEVIVE_NOR</t>
  </si>
  <si>
    <t>FLASH_TYPE_GIGADEVIVE_NAND</t>
  </si>
  <si>
    <t>FLASH_SIZE_64MBIT</t>
  </si>
  <si>
    <t>FLASH_SIZE_128MBIT</t>
  </si>
  <si>
    <t>FLASH_SIZE_256MBIT</t>
  </si>
  <si>
    <t>FLASH_SIZE_512MBIT</t>
  </si>
  <si>
    <t>FLASH_SIZE_1GBIT</t>
  </si>
  <si>
    <t>FLASH_SIZE_2GBIT</t>
  </si>
  <si>
    <t>FLASH_SIZE_4GBIT</t>
  </si>
  <si>
    <t>FLASH_DRV_NORMAL_MODE</t>
  </si>
  <si>
    <t>FLASH_DRV_DUAL_IO_MODE</t>
  </si>
  <si>
    <t>FLASH_DRV_DUAL_OUTPUT_MODE</t>
  </si>
  <si>
    <t>FLASH_DRV_QUAD_IO_MODE</t>
  </si>
  <si>
    <t>FLASH_TYPE</t>
  </si>
  <si>
    <t>FLASH_SIZE</t>
  </si>
  <si>
    <t>FLASH_DRV</t>
  </si>
  <si>
    <t>IMG_SRC_IN_PORT_MIPI</t>
  </si>
  <si>
    <t>IMG_SRC_IN_PORT_DPI</t>
  </si>
  <si>
    <t>IMG_SRC_IN_PORT_UVC</t>
  </si>
  <si>
    <t>COMM_SUPPORT_I2C</t>
  </si>
  <si>
    <t>COMM_SUPPORT_SPI</t>
  </si>
  <si>
    <t>COMM_SUPPORT_UART</t>
  </si>
  <si>
    <t>COMM_SUPPORT_I2S</t>
  </si>
  <si>
    <t>COMM_SUPPORT</t>
  </si>
  <si>
    <t>Keywords</t>
    <phoneticPr fontId="1" type="noConversion"/>
  </si>
  <si>
    <t>FLASH_DRV_QUAD_OUTPUT_MODE</t>
  </si>
  <si>
    <t>SUPPORT_ADC</t>
  </si>
  <si>
    <t>SUPPORT_DDR</t>
  </si>
  <si>
    <t>SUPPORT_GDMA</t>
  </si>
  <si>
    <t>SUPPORT_GPIO</t>
  </si>
  <si>
    <t>SUPPORT_PWM</t>
  </si>
  <si>
    <t>SUPPORT_SDC</t>
  </si>
  <si>
    <t>SUPPORT_TIMER</t>
  </si>
  <si>
    <t>SUPPORT_USB</t>
  </si>
  <si>
    <t>SUPPORT_ADC_DISABLE</t>
  </si>
  <si>
    <t>SUPPORT_ADC_ENABLE</t>
  </si>
  <si>
    <t>SUPPORT_DDR_DISABLE</t>
  </si>
  <si>
    <t>SUPPORT_DDR_ENABLE</t>
  </si>
  <si>
    <t>SUPPORT_GDMA_DISABLE</t>
  </si>
  <si>
    <t>SUPPORT_GDMA_ENABLE</t>
  </si>
  <si>
    <t>SUPPORT_GPIO_DISABLE</t>
  </si>
  <si>
    <t>SUPPORT_GPIO_ENABLE</t>
  </si>
  <si>
    <t>SUPPORT_PWM_DISABLE</t>
  </si>
  <si>
    <t>SUPPORT_PWM_ENABLE</t>
  </si>
  <si>
    <t>SUPPORT_SDC_DISABLE</t>
  </si>
  <si>
    <t>SUPPORT_SDC_ENABLE</t>
  </si>
  <si>
    <t>SUPPORT_TIMER_DISABLE</t>
  </si>
  <si>
    <t>SUPPORT_TIMER_ENABLE</t>
  </si>
  <si>
    <t>SUPPORT_USB_DISABLE</t>
  </si>
  <si>
    <t>SUPPORT_USB_ENABLE</t>
  </si>
  <si>
    <t>SUPPORT_WDT_DISABLE</t>
  </si>
  <si>
    <t>SUPPORT_WDT</t>
  </si>
  <si>
    <t>SUPPORT_UART_CONSOLE_ENABLE</t>
  </si>
  <si>
    <t>SUPPORT_WDT_ENABLE</t>
    <phoneticPr fontId="1" type="noConversion"/>
  </si>
  <si>
    <t xml:space="preserve">FLASH_TYPE_WINBOND_NOR     </t>
  </si>
  <si>
    <t xml:space="preserve">FLASH_TYPE_MXIC_NOR        </t>
  </si>
  <si>
    <t xml:space="preserve">FLASH_TYPE_MXIC_NAND       </t>
  </si>
  <si>
    <t xml:space="preserve">FLASH_TYPE_GIGADEVIVE_NOR  </t>
  </si>
  <si>
    <t xml:space="preserve">FLASH_TYPE_GIGADEVIVE_NAND </t>
  </si>
  <si>
    <t xml:space="preserve">FLASH_TYPE_WINBOND_NAND    </t>
    <phoneticPr fontId="1" type="noConversion"/>
  </si>
  <si>
    <t>kdev_sensor_hmx2056.c</t>
  </si>
  <si>
    <t>kdev_sensor_ov9286.c</t>
  </si>
  <si>
    <t>kdev_sensor_hmxrica.c</t>
  </si>
  <si>
    <t>sensor_ops</t>
    <phoneticPr fontId="1" type="noConversion"/>
  </si>
  <si>
    <t>kmdw_memory.c</t>
  </si>
  <si>
    <t>SUPPORT_WDT_ENABLE</t>
  </si>
  <si>
    <t>init</t>
    <phoneticPr fontId="1" type="noConversion"/>
  </si>
  <si>
    <t>kmdw_camera_init();</t>
  </si>
  <si>
    <t>kdrv_gdma_initialize();</t>
  </si>
  <si>
    <t>kmdw_display_initialize();</t>
  </si>
  <si>
    <t>kdrv_timer_initialize();</t>
  </si>
  <si>
    <t>drv</t>
    <phoneticPr fontId="1" type="noConversion"/>
  </si>
  <si>
    <t>dev</t>
    <phoneticPr fontId="1" type="noConversion"/>
  </si>
  <si>
    <t>mdw</t>
    <phoneticPr fontId="1" type="noConversion"/>
  </si>
  <si>
    <t>kdev_sensor_gc2145.c</t>
  </si>
  <si>
    <t>kdev_sensor_gc2145_get_ops, SENSOR_OPS_ARRAY</t>
  </si>
  <si>
    <t>kdev_sensor_sc132gs.c</t>
  </si>
  <si>
    <t>kdev_sensor_sc132gs_get_ops,SENSOR_OPS_ARRAY</t>
  </si>
  <si>
    <t>Null,SENSOR_OPS_ARRAY</t>
  </si>
  <si>
    <t>kdrv_i2c.c</t>
  </si>
  <si>
    <t>kdrv_spi.c</t>
  </si>
  <si>
    <t>kdev_flash_winbond.c</t>
  </si>
  <si>
    <t>kdev_flash_mxic.c</t>
  </si>
  <si>
    <t>kdrv_adc_initialize();</t>
  </si>
  <si>
    <t>kdrv_gpio_initialize();</t>
  </si>
  <si>
    <t>kdrv_sdc_initialize();</t>
  </si>
  <si>
    <t>kdrv_lcdc.c</t>
  </si>
  <si>
    <t>kdrv_lcm.c</t>
  </si>
  <si>
    <t>kdev_mzt_480x272.c</t>
  </si>
  <si>
    <t xml:space="preserve">kdev_st7789_240x320.c </t>
  </si>
  <si>
    <t>kmdw_camera_kl720.c,kmdw_camera.c,kmdw_sensor.c,</t>
    <phoneticPr fontId="1" type="noConversion"/>
  </si>
  <si>
    <t>kdrv_ddr.c,kdrv_clock.c,kdrv_system.c,kdrv_power.c,kdrv_dpi2ahb.c,kdrv_mipicsirx.c,kdrv_fb_mgr.c,kdrv_i2c.c</t>
    <phoneticPr fontId="1" type="noConversion"/>
  </si>
  <si>
    <t>COMM_SUPPORT_SPI</t>
    <phoneticPr fontId="1" type="noConversion"/>
  </si>
  <si>
    <t>kdrv_i2c.c</t>
    <phoneticPr fontId="1" type="noConversion"/>
  </si>
  <si>
    <t>kdrv_spi.c</t>
    <phoneticPr fontId="1" type="noConversion"/>
  </si>
  <si>
    <t>kmdw_console.c</t>
    <phoneticPr fontId="1" type="noConversion"/>
  </si>
  <si>
    <t>path</t>
    <phoneticPr fontId="1" type="noConversion"/>
  </si>
  <si>
    <t>include</t>
    <phoneticPr fontId="1" type="noConversion"/>
  </si>
  <si>
    <t>#include "kmdw_camera.h"</t>
    <phoneticPr fontId="1" type="noConversion"/>
  </si>
  <si>
    <t>#include "kdrv_i2c.h"</t>
    <phoneticPr fontId="1" type="noConversion"/>
  </si>
  <si>
    <t>#include "kdrv_spi.h"</t>
    <phoneticPr fontId="1" type="noConversion"/>
  </si>
  <si>
    <t>#include "kdrv_adc.h"</t>
    <phoneticPr fontId="1" type="noConversion"/>
  </si>
  <si>
    <t>#include "kdrv_gdma.h"</t>
    <phoneticPr fontId="1" type="noConversion"/>
  </si>
  <si>
    <t>#include "kdrv_gpio.h"</t>
    <phoneticPr fontId="1" type="noConversion"/>
  </si>
  <si>
    <t>#include "kdrv_pwm.h"</t>
    <phoneticPr fontId="1" type="noConversion"/>
  </si>
  <si>
    <t>#include "kdrv_sdc.h"</t>
    <phoneticPr fontId="1" type="noConversion"/>
  </si>
  <si>
    <t>#include "kdrv_timer.h"</t>
    <phoneticPr fontId="1" type="noConversion"/>
  </si>
  <si>
    <t>#include "kdrv_wdt.h"</t>
    <phoneticPr fontId="1" type="noConversion"/>
  </si>
  <si>
    <t>#include "kmdw_console.h"</t>
    <phoneticPr fontId="1" type="noConversion"/>
  </si>
  <si>
    <t>#include "kmdw_display.h"</t>
  </si>
  <si>
    <t>#include "kdrv_uart.h"</t>
    <phoneticPr fontId="1" type="noConversion"/>
  </si>
  <si>
    <t>#include "kmdw_memory.h",#include "kdp_ddr_table.h"</t>
    <phoneticPr fontId="1" type="noConversion"/>
  </si>
  <si>
    <t>kdrv_ddr.c,kdrv_clock.c,kdrv_system.c,kdrv_power.c,kdrv_dpi2ahb.c,kdrv_dpi.c,kdrv_fb_mgr.c,kdrv_i2c.c</t>
  </si>
  <si>
    <t>kdrv_ddr.c,kdrv_clock.c,kdrv_system.c,kdrv_power.c,kdrv_uvc.c,kdrv_fb_mgr.c,kdrv_i2c.c</t>
  </si>
  <si>
    <t>kdrv_clock.c,kdrv_system.c,kdrv_power.c,kdrv_adc.c</t>
  </si>
  <si>
    <t>kdrv_clock.c,kdrv_system.c,kdrv_power.c,kdrv_gdma.c</t>
  </si>
  <si>
    <t>kdrv_clock.c,kdrv_system.c,kdrv_power.c,kdrv_gpio.c,kdrv_pinmux.c</t>
  </si>
  <si>
    <t>kdrv_clock.c,kdrv_system.c,kdrv_power.c,kdrv_pwm.c</t>
  </si>
  <si>
    <t>kdrv_clock.c,kdrv_system.c,kdrv_power.c,kdrv_sdc.c</t>
  </si>
  <si>
    <t>kdrv_clock.c,kdrv_system.c,kdrv_power.c,kdrv_timer.c</t>
  </si>
  <si>
    <t>kdrv_clock.c,kdrv_system.c,kdrv_power.c,kdrv_wdt.c</t>
  </si>
  <si>
    <t>kdrv_clock.c,kdrv_system.c,kdrv_power.c,kdrv_uart.c</t>
  </si>
  <si>
    <t>board_sn72096_9x9</t>
  </si>
  <si>
    <t>board_sn720ev_11x11</t>
  </si>
  <si>
    <t>board_sn720ev_9x9</t>
  </si>
  <si>
    <t>board_sn720haps</t>
  </si>
  <si>
    <t>Board ID</t>
    <phoneticPr fontId="1" type="noConversion"/>
  </si>
  <si>
    <t>DISPLAY_DEVICE_NONE</t>
  </si>
  <si>
    <t>DISPLAY_PANEL_NONE</t>
  </si>
  <si>
    <t>kdrv_i2c_initialize();</t>
    <phoneticPr fontId="1" type="noConversion"/>
  </si>
  <si>
    <t>kdrv_spi_initialize();</t>
    <phoneticPr fontId="1" type="noConversion"/>
  </si>
  <si>
    <t>kmdw_ddr_initialize();</t>
    <phoneticPr fontId="1" type="noConversion"/>
  </si>
  <si>
    <t>kdrv_system.c,kdrv_clock.c,kdrv_power.c,kdrv_ddr.c,kdrv_crc.c</t>
    <phoneticPr fontId="1" type="noConversion"/>
  </si>
  <si>
    <t>Path</t>
    <phoneticPr fontId="1" type="noConversion"/>
  </si>
  <si>
    <t>kdrv_uart_initialize();,kmdw_console_init();</t>
    <phoneticPr fontId="1" type="noConversion"/>
  </si>
  <si>
    <t>kl520</t>
    <phoneticPr fontId="1" type="noConversion"/>
  </si>
  <si>
    <t>kl720</t>
    <phoneticPr fontId="1" type="noConversion"/>
  </si>
  <si>
    <t>kl530</t>
    <phoneticPr fontId="1" type="noConversion"/>
  </si>
  <si>
    <t>kdrv_uart.c</t>
    <phoneticPr fontId="1" type="noConversion"/>
  </si>
  <si>
    <t>**** board_customer_option ****</t>
  </si>
  <si>
    <t xml:space="preserve"> </t>
  </si>
  <si>
    <t>_BOARD_SN720EV_9X9_H_</t>
  </si>
  <si>
    <t>SUPPORT_UART_CONSOLE_DISABLE</t>
  </si>
  <si>
    <t>SUPPORT_UART</t>
  </si>
  <si>
    <t>COMM_I2CSPEED_100K</t>
  </si>
  <si>
    <t>COMM_I2CSPEED_200K</t>
  </si>
  <si>
    <t>COMM_I2CSPEED_400K</t>
  </si>
  <si>
    <t>COMM_I2CSPEED_1000K</t>
  </si>
  <si>
    <t>COMM_I2CSPEED</t>
  </si>
  <si>
    <t>COMM_PORT</t>
  </si>
  <si>
    <t>COMM_PORT_NUM</t>
    <phoneticPr fontId="1" type="noConversion"/>
  </si>
  <si>
    <t>#define</t>
    <phoneticPr fontId="1" type="noConversion"/>
  </si>
  <si>
    <t>COMM_SPIMODE</t>
  </si>
  <si>
    <t>SUPPORT_WDT_DISABLE</t>
    <phoneticPr fontId="1" type="noConversion"/>
  </si>
  <si>
    <t>SUPPORT_UART_CONSOLE_DISABLE</t>
    <phoneticPr fontId="1" type="noConversion"/>
  </si>
  <si>
    <t>SUPPORT_UART_CONSOLE_ENABLE</t>
    <phoneticPr fontId="1" type="noConversion"/>
  </si>
  <si>
    <t>COMM_PORT_ID_0</t>
  </si>
  <si>
    <t>COMM_PORT_ID_1</t>
  </si>
  <si>
    <t>COMM_PORT_ID_2</t>
  </si>
  <si>
    <t>COMM_PORT_ID_3</t>
  </si>
  <si>
    <t>COMM_SPIMODE_MODE_0</t>
  </si>
  <si>
    <t>COMM_SPIMODE_MODE_1</t>
  </si>
  <si>
    <t>COMM_SPIMODE_MODE_2</t>
  </si>
  <si>
    <t>COMM_SPIMODE_MODE_3</t>
  </si>
  <si>
    <t>COMM_SUPPORT_0</t>
    <phoneticPr fontId="1" type="noConversion"/>
  </si>
  <si>
    <t>COMM_PORT_0</t>
    <phoneticPr fontId="1" type="noConversion"/>
  </si>
  <si>
    <t>COMM_I2CSPEED_0</t>
    <phoneticPr fontId="1" type="noConversion"/>
  </si>
  <si>
    <t>COMM_SPIMODE_0</t>
    <phoneticPr fontId="1" type="noConversion"/>
  </si>
  <si>
    <t>..\..\..\..\..\firmware\platform\asic\kl720\scpu\drv\include;..\..\..\..\..\firmware\platform\asic\kl720\common;..\..\..\..\..\firmware\platform\asic\kl720\scpu\rtos\rtx\include;..\..\sn720ev_9x9;..\..\..\..\..\firmware\platform\board\board_sn720ev_9x9;..\..\..\..\..\..\mdw\include;..\..\..\..\..\..\platform\dev\include</t>
    <phoneticPr fontId="1" type="noConversion"/>
  </si>
  <si>
    <t>..\..\..\..\..\firmware\platform\asic\kl720\scpu\drv\include;..\..\..\..\..\firmware\platform\asic\kl720\common;..\..\..\..\..\firmware\platform\asic\kl720\scpu\rtos\rtx\include;..\..\sn720ev_9x9;..\..\..\..\..\firmware\platform\board\board_sn720ev_9x9</t>
    <phoneticPr fontId="1" type="noConversion"/>
  </si>
  <si>
    <t>..\..\..\..\..\firmware\platform\asic\kl720\scpu\drv\include;..\..\..\..\..\firmware\platform\asic\kl720\common;..\..\..\..\..\firmware\platform\asic\kl720\scpu\rtos\rtx\include;..\..\sn720ev_9x9;..\..\..\..\..\firmware\platform\board\board_sn720ev_9x9;..\..\..\..\..\..\platform\dev\include</t>
    <phoneticPr fontId="1" type="noConversion"/>
  </si>
  <si>
    <t>..\..\..\..\..\firmware\platform\asic\kl720\scpu\drv\include;..\..\..\..\..\firmware\platform\asic\kl720\common;..\..\..\..\..\firmware\platform\asic\kl720\scpu\rtos\rtx\include;..\..\sn720ev_9x9;..\..\..\..\..\firmware\platform\board\board_sn720ev_9x9;..\..\..\..\..\..\mdw\include</t>
    <phoneticPr fontId="1" type="noConversion"/>
  </si>
  <si>
    <t>D:\Kneron_data\Source\GitLab\beethoven_sw_4\firmware\build\solution_companion\sn72096_9x9\scpu_keil\comp.uvprojx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</si>
</sst>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新細明體"/>
      <family val="2"/>
      <charset val="136"/>
      <scheme val="minor"/>
    </font>
    <font>
      <sz val="9"/>
      <name val="新細明體"/>
      <family val="2"/>
      <charset val="136"/>
      <scheme val="minor"/>
    </font>
    <font>
      <b/>
      <sz val="12"/>
      <color indexed="8"/>
      <name val="Arial"/>
      <family val="2"/>
    </font>
    <font>
      <sz val="9"/>
      <name val="細明體"/>
      <family val="3"/>
      <charset val="136"/>
    </font>
    <font>
      <sz val="10"/>
      <color indexed="8"/>
      <name val="Arial"/>
      <family val="2"/>
    </font>
    <font>
      <sz val="12"/>
      <color indexed="8"/>
      <name val="Arial"/>
      <family val="2"/>
    </font>
    <font>
      <sz val="10"/>
      <color theme="1"/>
      <name val="Arial"/>
      <family val="2"/>
    </font>
    <font>
      <strike/>
      <sz val="10"/>
      <color indexed="8"/>
      <name val="Arial"/>
      <family val="2"/>
    </font>
    <font>
      <sz val="10"/>
      <name val="Arial"/>
      <family val="2"/>
    </font>
    <font>
      <b/>
      <sz val="12"/>
      <color theme="1"/>
      <name val="新細明體"/>
      <family val="1"/>
      <charset val="136"/>
      <scheme val="minor"/>
    </font>
    <font>
      <sz val="11"/>
      <name val="Arial"/>
      <family val="2"/>
      <charset val="1"/>
    </font>
    <font>
      <sz val="11"/>
      <color rgb="FF000000"/>
      <name val="Arial"/>
      <family val="2"/>
      <charset val="1"/>
    </font>
    <font>
      <b/>
      <sz val="11"/>
      <color rgb="FFFF0000"/>
      <name val="Arial"/>
      <family val="2"/>
    </font>
    <font>
      <sz val="11"/>
      <color rgb="FF002060"/>
      <name val="Arial"/>
      <family val="2"/>
      <charset val="1"/>
    </font>
    <font>
      <sz val="12"/>
      <color rgb="FF000000"/>
      <name val="新細明體"/>
      <family val="1"/>
      <charset val="136"/>
    </font>
    <font>
      <sz val="12"/>
      <color theme="1"/>
      <name val="Times New Roman"/>
      <family val="1"/>
    </font>
    <font>
      <i/>
      <sz val="12"/>
      <color theme="1"/>
      <name val="Times New Roman"/>
      <family val="1"/>
    </font>
    <font>
      <b/>
      <sz val="12"/>
      <color theme="1"/>
      <name val="Times New Roman"/>
      <family val="1"/>
    </font>
    <font>
      <sz val="12"/>
      <color rgb="FFFF0000"/>
      <name val="Times New Roman"/>
      <family val="1"/>
    </font>
    <font>
      <b/>
      <sz val="12"/>
      <color theme="0" tint="-0.249977111117893"/>
      <name val="Times New Roman"/>
      <family val="1"/>
    </font>
    <font>
      <sz val="12"/>
      <color theme="0" tint="-0.249977111117893"/>
      <name val="Times New Roman"/>
      <family val="1"/>
    </font>
  </fonts>
  <fills count="22">
    <fill>
      <patternFill patternType="none"/>
    </fill>
    <fill>
      <patternFill patternType="gray125"/>
    </fill>
    <fill>
      <patternFill patternType="solid">
        <fgColor theme="0" tint="-0.249977111117893"/>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D7E4BD"/>
        <bgColor rgb="FFDEE6EF"/>
      </patternFill>
    </fill>
    <fill>
      <patternFill patternType="solid">
        <fgColor rgb="FFB9CDE5"/>
        <bgColor rgb="FFCCCCCC"/>
      </patternFill>
    </fill>
    <fill>
      <patternFill patternType="solid">
        <fgColor rgb="FFCCCCCC"/>
        <bgColor rgb="FFB9CDE5"/>
      </patternFill>
    </fill>
    <fill>
      <patternFill patternType="solid">
        <fgColor rgb="FFE16173"/>
        <bgColor rgb="FFFF5429"/>
      </patternFill>
    </fill>
    <fill>
      <patternFill patternType="solid">
        <fgColor rgb="FFBE480A"/>
        <bgColor rgb="FFB85C00"/>
      </patternFill>
    </fill>
    <fill>
      <patternFill patternType="solid">
        <fgColor rgb="FFFFB66C"/>
        <bgColor rgb="FFFAC090"/>
      </patternFill>
    </fill>
    <fill>
      <patternFill patternType="solid">
        <fgColor rgb="FFFFAA95"/>
        <bgColor rgb="FFFFB66C"/>
      </patternFill>
    </fill>
    <fill>
      <patternFill patternType="solid">
        <fgColor theme="7" tint="0.39997558519241921"/>
        <bgColor rgb="FFD4EA6B"/>
      </patternFill>
    </fill>
    <fill>
      <patternFill patternType="solid">
        <fgColor rgb="FFDBEEF4"/>
        <bgColor rgb="FFDEE6EF"/>
      </patternFill>
    </fill>
    <fill>
      <patternFill patternType="solid">
        <fgColor rgb="FF81ACA6"/>
        <bgColor rgb="FFB2B2B2"/>
      </patternFill>
    </fill>
    <fill>
      <patternFill patternType="solid">
        <fgColor rgb="FFE6B9B8"/>
        <bgColor rgb="FFFAC090"/>
      </patternFill>
    </fill>
    <fill>
      <patternFill patternType="solid">
        <fgColor rgb="FFFFC000"/>
        <bgColor rgb="FFFDEADA"/>
      </patternFill>
    </fill>
    <fill>
      <patternFill patternType="solid">
        <fgColor rgb="FFBBE33D"/>
        <bgColor rgb="FFD4EA6B"/>
      </patternFill>
    </fill>
    <fill>
      <patternFill patternType="solid">
        <fgColor rgb="FFFFDBB6"/>
        <bgColor rgb="FFFDEADA"/>
      </patternFill>
    </fill>
    <fill>
      <patternFill patternType="solid">
        <fgColor rgb="FFFFF200"/>
        <bgColor rgb="FFFFFF00"/>
      </patternFill>
    </fill>
    <fill>
      <patternFill patternType="solid">
        <fgColor theme="7" tint="0.79995117038483843"/>
        <bgColor indexed="64"/>
      </patternFill>
    </fill>
    <fill>
      <patternFill patternType="solid">
        <fgColor theme="7"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s>
  <cellStyleXfs count="1">
    <xf numFmtId="0" fontId="0" fillId="0" borderId="0">
      <alignment vertical="center"/>
    </xf>
  </cellStyleXfs>
  <cellXfs count="153">
    <xf numFmtId="0" fontId="0" fillId="0" borderId="0" xfId="0">
      <alignment vertical="center"/>
    </xf>
    <xf numFmtId="0" fontId="0" fillId="2" borderId="0" xfId="0" applyFill="1">
      <alignment vertical="center"/>
    </xf>
    <xf numFmtId="49" fontId="4" fillId="3" borderId="3"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49" fontId="4" fillId="3" borderId="4" xfId="0" applyNumberFormat="1" applyFont="1" applyFill="1" applyBorder="1" applyAlignment="1">
      <alignment horizontal="center" vertical="center"/>
    </xf>
    <xf numFmtId="0" fontId="2" fillId="3" borderId="3"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0" borderId="1" xfId="0" applyFill="1" applyBorder="1">
      <alignment vertical="center"/>
    </xf>
    <xf numFmtId="0" fontId="0" fillId="0" borderId="8" xfId="0" applyFill="1" applyBorder="1">
      <alignment vertical="center"/>
    </xf>
    <xf numFmtId="0" fontId="0" fillId="0" borderId="6" xfId="0" applyFill="1" applyBorder="1">
      <alignment vertical="center"/>
    </xf>
    <xf numFmtId="0" fontId="5" fillId="4" borderId="5" xfId="0" applyFont="1" applyFill="1" applyBorder="1" applyAlignment="1">
      <alignment horizontal="center" vertical="center"/>
    </xf>
    <xf numFmtId="49" fontId="6" fillId="4" borderId="1" xfId="0" applyNumberFormat="1" applyFont="1" applyFill="1" applyBorder="1" applyAlignment="1">
      <alignment horizontal="left" vertical="center"/>
    </xf>
    <xf numFmtId="0" fontId="6" fillId="4" borderId="1" xfId="0" applyFont="1" applyFill="1" applyBorder="1" applyAlignment="1">
      <alignment horizontal="center"/>
    </xf>
    <xf numFmtId="49" fontId="4" fillId="4" borderId="1" xfId="0" applyNumberFormat="1" applyFont="1" applyFill="1" applyBorder="1" applyAlignment="1">
      <alignment horizontal="left" vertical="center"/>
    </xf>
    <xf numFmtId="0" fontId="5" fillId="4" borderId="7" xfId="0" applyFont="1" applyFill="1" applyBorder="1" applyAlignment="1">
      <alignment horizontal="center" vertical="center"/>
    </xf>
    <xf numFmtId="49" fontId="4" fillId="4" borderId="8" xfId="0" applyNumberFormat="1" applyFont="1" applyFill="1" applyBorder="1" applyAlignment="1">
      <alignment horizontal="left" vertical="center"/>
    </xf>
    <xf numFmtId="0" fontId="6" fillId="4" borderId="8" xfId="0" applyFont="1" applyFill="1" applyBorder="1" applyAlignment="1">
      <alignment horizontal="center"/>
    </xf>
    <xf numFmtId="0" fontId="0" fillId="2" borderId="3" xfId="0" applyFill="1" applyBorder="1">
      <alignment vertical="center"/>
    </xf>
    <xf numFmtId="0" fontId="0" fillId="2" borderId="2" xfId="0" applyFill="1" applyBorder="1">
      <alignment vertical="center"/>
    </xf>
    <xf numFmtId="0" fontId="0" fillId="2" borderId="4" xfId="0" applyFill="1" applyBorder="1">
      <alignment vertical="center"/>
    </xf>
    <xf numFmtId="0" fontId="0" fillId="0" borderId="5" xfId="0" applyFill="1" applyBorder="1">
      <alignment vertical="center"/>
    </xf>
    <xf numFmtId="0" fontId="0" fillId="0" borderId="7" xfId="0" applyFill="1" applyBorder="1">
      <alignment vertical="center"/>
    </xf>
    <xf numFmtId="0" fontId="2" fillId="3" borderId="10" xfId="0" applyFont="1" applyFill="1" applyBorder="1" applyAlignment="1">
      <alignment horizontal="center" vertical="center" wrapText="1"/>
    </xf>
    <xf numFmtId="0" fontId="0" fillId="0" borderId="1" xfId="0" applyBorder="1">
      <alignment vertical="center"/>
    </xf>
    <xf numFmtId="0" fontId="0" fillId="0" borderId="11" xfId="0" applyFill="1" applyBorder="1">
      <alignment vertical="center"/>
    </xf>
    <xf numFmtId="49" fontId="4" fillId="4" borderId="18" xfId="0" applyNumberFormat="1" applyFont="1" applyFill="1" applyBorder="1" applyAlignment="1">
      <alignment horizontal="left" vertical="center"/>
    </xf>
    <xf numFmtId="49" fontId="4" fillId="4" borderId="17" xfId="0" applyNumberFormat="1" applyFont="1" applyFill="1" applyBorder="1" applyAlignment="1">
      <alignment horizontal="left" vertical="center"/>
    </xf>
    <xf numFmtId="0" fontId="5" fillId="4" borderId="19" xfId="0" applyFont="1" applyFill="1" applyBorder="1" applyAlignment="1">
      <alignment horizontal="center" vertical="center"/>
    </xf>
    <xf numFmtId="49" fontId="4" fillId="4" borderId="20" xfId="0" applyNumberFormat="1" applyFont="1" applyFill="1" applyBorder="1" applyAlignment="1">
      <alignment horizontal="left" vertical="center"/>
    </xf>
    <xf numFmtId="0" fontId="6" fillId="4" borderId="20" xfId="0" applyFont="1" applyFill="1" applyBorder="1" applyAlignment="1">
      <alignment horizontal="center"/>
    </xf>
    <xf numFmtId="0" fontId="0" fillId="0" borderId="20" xfId="0" applyFill="1" applyBorder="1">
      <alignment vertical="center"/>
    </xf>
    <xf numFmtId="0" fontId="0" fillId="0" borderId="19" xfId="0" applyFill="1" applyBorder="1">
      <alignment vertical="center"/>
    </xf>
    <xf numFmtId="0" fontId="0" fillId="2" borderId="0" xfId="0" applyFill="1" applyBorder="1">
      <alignment vertical="center"/>
    </xf>
    <xf numFmtId="49" fontId="4" fillId="0" borderId="1" xfId="0" applyNumberFormat="1" applyFont="1" applyFill="1" applyBorder="1" applyAlignment="1">
      <alignment horizontal="center" vertical="center"/>
    </xf>
    <xf numFmtId="49" fontId="4" fillId="0" borderId="1" xfId="0" applyNumberFormat="1" applyFont="1" applyFill="1" applyBorder="1" applyAlignment="1">
      <alignment horizontal="left" vertical="center"/>
    </xf>
    <xf numFmtId="49" fontId="6" fillId="0" borderId="1" xfId="0" applyNumberFormat="1" applyFont="1" applyFill="1" applyBorder="1" applyAlignment="1">
      <alignment horizontal="left" vertical="center"/>
    </xf>
    <xf numFmtId="49" fontId="4" fillId="0" borderId="6" xfId="0" applyNumberFormat="1" applyFont="1" applyFill="1" applyBorder="1" applyAlignment="1">
      <alignment horizontal="center" vertical="center"/>
    </xf>
    <xf numFmtId="49" fontId="4" fillId="0" borderId="5" xfId="0" applyNumberFormat="1" applyFont="1" applyFill="1" applyBorder="1" applyAlignment="1">
      <alignment horizontal="left" vertical="center"/>
    </xf>
    <xf numFmtId="0" fontId="4" fillId="0" borderId="1" xfId="0" applyFont="1" applyFill="1" applyBorder="1" applyAlignment="1">
      <alignment horizontal="center" vertical="center"/>
    </xf>
    <xf numFmtId="49" fontId="7" fillId="0" borderId="1" xfId="0" applyNumberFormat="1" applyFont="1" applyFill="1" applyBorder="1" applyAlignment="1">
      <alignment horizontal="left" vertical="center"/>
    </xf>
    <xf numFmtId="49" fontId="4" fillId="0" borderId="19" xfId="0" applyNumberFormat="1" applyFont="1" applyFill="1" applyBorder="1" applyAlignment="1">
      <alignment horizontal="left" vertical="center"/>
    </xf>
    <xf numFmtId="49" fontId="4" fillId="0" borderId="20" xfId="0" applyNumberFormat="1" applyFont="1" applyFill="1" applyBorder="1" applyAlignment="1">
      <alignment horizontal="center" vertical="center"/>
    </xf>
    <xf numFmtId="49" fontId="4" fillId="0" borderId="20" xfId="0" applyNumberFormat="1" applyFont="1" applyFill="1" applyBorder="1" applyAlignment="1">
      <alignment horizontal="left" vertical="center"/>
    </xf>
    <xf numFmtId="49" fontId="6" fillId="0" borderId="20" xfId="0" applyNumberFormat="1" applyFont="1" applyFill="1" applyBorder="1" applyAlignment="1">
      <alignment horizontal="left" vertical="center"/>
    </xf>
    <xf numFmtId="0" fontId="4" fillId="0" borderId="20" xfId="0" applyFont="1" applyFill="1" applyBorder="1" applyAlignment="1">
      <alignment horizontal="center" vertical="center"/>
    </xf>
    <xf numFmtId="49" fontId="4" fillId="0" borderId="21" xfId="0" applyNumberFormat="1" applyFont="1" applyFill="1" applyBorder="1" applyAlignment="1">
      <alignment horizontal="center" vertical="center"/>
    </xf>
    <xf numFmtId="49" fontId="4" fillId="0" borderId="7" xfId="0" applyNumberFormat="1" applyFont="1" applyFill="1" applyBorder="1" applyAlignment="1">
      <alignment horizontal="left" vertical="center"/>
    </xf>
    <xf numFmtId="49" fontId="4" fillId="0" borderId="8" xfId="0" applyNumberFormat="1" applyFont="1" applyFill="1" applyBorder="1" applyAlignment="1">
      <alignment horizontal="center" vertical="center"/>
    </xf>
    <xf numFmtId="49" fontId="4" fillId="0" borderId="8" xfId="0" applyNumberFormat="1" applyFont="1" applyFill="1" applyBorder="1" applyAlignment="1">
      <alignment horizontal="left" vertical="center"/>
    </xf>
    <xf numFmtId="0" fontId="4" fillId="0" borderId="8" xfId="0" applyFont="1" applyFill="1" applyBorder="1" applyAlignment="1">
      <alignment horizontal="center"/>
    </xf>
    <xf numFmtId="49" fontId="6" fillId="0" borderId="8" xfId="0" applyNumberFormat="1" applyFont="1" applyFill="1" applyBorder="1" applyAlignment="1">
      <alignment horizontal="left" vertical="center"/>
    </xf>
    <xf numFmtId="49" fontId="8" fillId="0" borderId="8" xfId="0" applyNumberFormat="1" applyFont="1" applyFill="1" applyBorder="1" applyAlignment="1">
      <alignment horizontal="left" vertical="center"/>
    </xf>
    <xf numFmtId="0" fontId="4" fillId="0" borderId="8" xfId="0" applyFont="1" applyFill="1" applyBorder="1" applyAlignment="1">
      <alignment horizontal="center" vertical="center"/>
    </xf>
    <xf numFmtId="0" fontId="5" fillId="0" borderId="9" xfId="0" applyFont="1" applyFill="1" applyBorder="1" applyAlignment="1">
      <alignment horizontal="center" vertical="center"/>
    </xf>
    <xf numFmtId="49" fontId="10" fillId="5" borderId="1" xfId="0" applyNumberFormat="1" applyFont="1" applyFill="1" applyBorder="1" applyAlignment="1">
      <alignment horizontal="left" vertical="center"/>
    </xf>
    <xf numFmtId="49" fontId="10" fillId="6" borderId="1" xfId="0" applyNumberFormat="1" applyFont="1" applyFill="1" applyBorder="1" applyAlignment="1">
      <alignment horizontal="left" vertical="center"/>
    </xf>
    <xf numFmtId="49" fontId="10" fillId="7" borderId="1" xfId="0" applyNumberFormat="1" applyFont="1" applyFill="1" applyBorder="1" applyAlignment="1">
      <alignment horizontal="left" vertical="center"/>
    </xf>
    <xf numFmtId="49" fontId="10" fillId="8" borderId="1" xfId="0" applyNumberFormat="1" applyFont="1" applyFill="1" applyBorder="1" applyAlignment="1">
      <alignment horizontal="left" vertical="center"/>
    </xf>
    <xf numFmtId="49" fontId="10" fillId="9" borderId="1" xfId="0" applyNumberFormat="1" applyFont="1" applyFill="1" applyBorder="1" applyAlignment="1">
      <alignment horizontal="left" vertical="center"/>
    </xf>
    <xf numFmtId="49" fontId="10" fillId="10" borderId="1" xfId="0" applyNumberFormat="1" applyFont="1" applyFill="1" applyBorder="1" applyAlignment="1">
      <alignment horizontal="left" vertical="center"/>
    </xf>
    <xf numFmtId="49" fontId="10" fillId="11" borderId="1" xfId="0" applyNumberFormat="1" applyFont="1" applyFill="1" applyBorder="1" applyAlignment="1">
      <alignment horizontal="left" vertical="center"/>
    </xf>
    <xf numFmtId="49" fontId="10" fillId="12" borderId="1" xfId="0" applyNumberFormat="1" applyFont="1" applyFill="1" applyBorder="1" applyAlignment="1">
      <alignment horizontal="left" vertical="center"/>
    </xf>
    <xf numFmtId="49" fontId="11" fillId="11" borderId="1" xfId="0" applyNumberFormat="1" applyFont="1" applyFill="1" applyBorder="1" applyAlignment="1">
      <alignment horizontal="left" vertical="center"/>
    </xf>
    <xf numFmtId="49" fontId="10" fillId="13" borderId="1" xfId="0" applyNumberFormat="1" applyFont="1" applyFill="1" applyBorder="1" applyAlignment="1">
      <alignment horizontal="left" vertical="center"/>
    </xf>
    <xf numFmtId="49" fontId="10" fillId="14" borderId="1" xfId="0" applyNumberFormat="1" applyFont="1" applyFill="1" applyBorder="1" applyAlignment="1">
      <alignment horizontal="left" vertical="center"/>
    </xf>
    <xf numFmtId="49" fontId="11" fillId="15" borderId="1" xfId="0" applyNumberFormat="1" applyFont="1" applyFill="1" applyBorder="1" applyAlignment="1">
      <alignment horizontal="left" vertical="center"/>
    </xf>
    <xf numFmtId="49" fontId="13" fillId="17" borderId="1" xfId="0" applyNumberFormat="1" applyFont="1" applyFill="1" applyBorder="1" applyAlignment="1">
      <alignment horizontal="left" vertical="center"/>
    </xf>
    <xf numFmtId="49" fontId="13" fillId="5" borderId="1" xfId="0" applyNumberFormat="1" applyFont="1" applyFill="1" applyBorder="1" applyAlignment="1">
      <alignment horizontal="left" vertical="center"/>
    </xf>
    <xf numFmtId="49" fontId="10" fillId="18" borderId="1" xfId="0" applyNumberFormat="1" applyFont="1" applyFill="1" applyBorder="1" applyAlignment="1">
      <alignment horizontal="left" vertical="center"/>
    </xf>
    <xf numFmtId="49" fontId="10" fillId="19" borderId="1" xfId="0" applyNumberFormat="1" applyFont="1" applyFill="1" applyBorder="1" applyAlignment="1">
      <alignment horizontal="left" vertical="center"/>
    </xf>
    <xf numFmtId="49" fontId="10" fillId="16" borderId="1" xfId="0" applyNumberFormat="1" applyFont="1" applyFill="1" applyBorder="1" applyAlignment="1">
      <alignment horizontal="left" vertical="center"/>
    </xf>
    <xf numFmtId="0" fontId="0" fillId="4" borderId="1" xfId="0" applyFill="1" applyBorder="1" applyAlignment="1">
      <alignment horizontal="center" vertical="center"/>
    </xf>
    <xf numFmtId="0" fontId="0" fillId="4" borderId="20" xfId="0" applyFill="1" applyBorder="1" applyAlignment="1">
      <alignment horizontal="center" vertical="center"/>
    </xf>
    <xf numFmtId="0" fontId="0" fillId="4" borderId="8" xfId="0" applyFill="1" applyBorder="1" applyAlignment="1">
      <alignment horizontal="center" vertical="center"/>
    </xf>
    <xf numFmtId="49" fontId="7" fillId="0" borderId="20" xfId="0" applyNumberFormat="1" applyFont="1" applyFill="1" applyBorder="1" applyAlignment="1">
      <alignment horizontal="left" vertical="center"/>
    </xf>
    <xf numFmtId="49" fontId="10" fillId="5" borderId="5" xfId="0" applyNumberFormat="1" applyFont="1" applyFill="1" applyBorder="1" applyAlignment="1">
      <alignment horizontal="left" vertical="center"/>
    </xf>
    <xf numFmtId="0" fontId="10" fillId="0" borderId="1" xfId="0" applyFont="1" applyBorder="1" applyAlignment="1">
      <alignment horizontal="center" vertical="center"/>
    </xf>
    <xf numFmtId="0" fontId="10" fillId="0" borderId="6" xfId="0" applyFont="1" applyBorder="1" applyAlignment="1">
      <alignment horizontal="center" vertical="center"/>
    </xf>
    <xf numFmtId="49" fontId="10" fillId="6" borderId="5" xfId="0" applyNumberFormat="1" applyFont="1" applyFill="1" applyBorder="1" applyAlignment="1">
      <alignment horizontal="left" vertical="center"/>
    </xf>
    <xf numFmtId="49" fontId="10" fillId="13" borderId="5" xfId="0" applyNumberFormat="1" applyFont="1" applyFill="1" applyBorder="1" applyAlignment="1">
      <alignment horizontal="left" vertical="center"/>
    </xf>
    <xf numFmtId="0" fontId="12" fillId="0" borderId="1" xfId="0" applyFont="1" applyBorder="1" applyAlignment="1">
      <alignment horizontal="center" vertical="center"/>
    </xf>
    <xf numFmtId="49" fontId="10" fillId="12" borderId="5" xfId="0" applyNumberFormat="1" applyFont="1" applyFill="1" applyBorder="1" applyAlignment="1">
      <alignment horizontal="left" vertical="center"/>
    </xf>
    <xf numFmtId="49" fontId="10" fillId="16" borderId="5" xfId="0" applyNumberFormat="1" applyFont="1" applyFill="1" applyBorder="1" applyAlignment="1">
      <alignment horizontal="left" vertical="center"/>
    </xf>
    <xf numFmtId="49" fontId="10" fillId="17" borderId="1" xfId="0" applyNumberFormat="1" applyFont="1" applyFill="1" applyBorder="1" applyAlignment="1">
      <alignment horizontal="left" vertical="center"/>
    </xf>
    <xf numFmtId="49" fontId="10" fillId="11" borderId="5" xfId="0" applyNumberFormat="1" applyFont="1" applyFill="1" applyBorder="1" applyAlignment="1">
      <alignment horizontal="left" vertical="center"/>
    </xf>
    <xf numFmtId="49" fontId="13" fillId="17" borderId="5" xfId="0" applyNumberFormat="1" applyFont="1" applyFill="1" applyBorder="1" applyAlignment="1">
      <alignment horizontal="left" vertical="center"/>
    </xf>
    <xf numFmtId="49" fontId="13" fillId="5" borderId="5" xfId="0" applyNumberFormat="1" applyFont="1" applyFill="1" applyBorder="1" applyAlignment="1">
      <alignment horizontal="left" vertical="center"/>
    </xf>
    <xf numFmtId="49" fontId="10" fillId="8" borderId="5" xfId="0" applyNumberFormat="1" applyFont="1" applyFill="1" applyBorder="1" applyAlignment="1">
      <alignment horizontal="left" vertical="center"/>
    </xf>
    <xf numFmtId="49" fontId="10" fillId="19" borderId="5" xfId="0" applyNumberFormat="1" applyFont="1" applyFill="1" applyBorder="1" applyAlignment="1">
      <alignment horizontal="left" vertical="center"/>
    </xf>
    <xf numFmtId="49" fontId="10" fillId="14" borderId="5" xfId="0" applyNumberFormat="1" applyFont="1" applyFill="1" applyBorder="1" applyAlignment="1">
      <alignment horizontal="left" vertical="center"/>
    </xf>
    <xf numFmtId="0" fontId="0" fillId="0" borderId="8" xfId="0" applyBorder="1">
      <alignment vertical="center"/>
    </xf>
    <xf numFmtId="0" fontId="0" fillId="0" borderId="12" xfId="0" applyFill="1" applyBorder="1">
      <alignment vertical="center"/>
    </xf>
    <xf numFmtId="0" fontId="0" fillId="0" borderId="9" xfId="0" applyFill="1" applyBorder="1">
      <alignment vertical="center"/>
    </xf>
    <xf numFmtId="0" fontId="0" fillId="0" borderId="24" xfId="0" applyBorder="1">
      <alignment vertical="center"/>
    </xf>
    <xf numFmtId="0" fontId="0" fillId="0" borderId="25" xfId="0" applyBorder="1">
      <alignment vertical="center"/>
    </xf>
    <xf numFmtId="0" fontId="0" fillId="2" borderId="22" xfId="0" applyFill="1" applyBorder="1">
      <alignment vertical="center"/>
    </xf>
    <xf numFmtId="0" fontId="2" fillId="3" borderId="26"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2" fillId="3" borderId="21" xfId="0" applyFont="1" applyFill="1" applyBorder="1" applyAlignment="1">
      <alignment horizontal="center" vertical="center" wrapText="1"/>
    </xf>
    <xf numFmtId="0" fontId="9" fillId="3" borderId="5" xfId="0" applyFont="1" applyFill="1" applyBorder="1" applyAlignment="1">
      <alignment horizontal="center" vertical="center"/>
    </xf>
    <xf numFmtId="0" fontId="9" fillId="3" borderId="1" xfId="0" applyFont="1" applyFill="1" applyBorder="1" applyAlignment="1">
      <alignment horizontal="center" vertical="center"/>
    </xf>
    <xf numFmtId="0" fontId="15" fillId="2" borderId="0" xfId="0" applyFont="1" applyFill="1">
      <alignment vertical="center"/>
    </xf>
    <xf numFmtId="0" fontId="15" fillId="21" borderId="3" xfId="0" applyFont="1" applyFill="1" applyBorder="1">
      <alignment vertical="center"/>
    </xf>
    <xf numFmtId="0" fontId="15" fillId="21" borderId="2" xfId="0" applyFont="1" applyFill="1" applyBorder="1">
      <alignment vertical="center"/>
    </xf>
    <xf numFmtId="0" fontId="15" fillId="21" borderId="4" xfId="0" applyFont="1" applyFill="1" applyBorder="1">
      <alignment vertical="center"/>
    </xf>
    <xf numFmtId="0" fontId="15" fillId="0" borderId="5" xfId="0" applyFont="1" applyFill="1" applyBorder="1">
      <alignment vertical="center"/>
    </xf>
    <xf numFmtId="0" fontId="15" fillId="0" borderId="1" xfId="0" applyFont="1" applyFill="1" applyBorder="1">
      <alignment vertical="center"/>
    </xf>
    <xf numFmtId="0" fontId="15" fillId="0" borderId="6" xfId="0" applyFont="1" applyFill="1" applyBorder="1">
      <alignment vertical="center"/>
    </xf>
    <xf numFmtId="22" fontId="15" fillId="0" borderId="5" xfId="0" applyNumberFormat="1" applyFont="1" applyFill="1" applyBorder="1">
      <alignment vertical="center"/>
    </xf>
    <xf numFmtId="0" fontId="15" fillId="0" borderId="7" xfId="0" applyFont="1" applyFill="1" applyBorder="1">
      <alignment vertical="center"/>
    </xf>
    <xf numFmtId="0" fontId="15" fillId="0" borderId="8" xfId="0" applyFont="1" applyFill="1" applyBorder="1">
      <alignment vertical="center"/>
    </xf>
    <xf numFmtId="0" fontId="15" fillId="0" borderId="9" xfId="0" applyFont="1" applyFill="1" applyBorder="1">
      <alignment vertical="center"/>
    </xf>
    <xf numFmtId="0" fontId="16" fillId="2" borderId="0" xfId="0" applyFont="1" applyFill="1">
      <alignment vertical="center"/>
    </xf>
    <xf numFmtId="0" fontId="15" fillId="2" borderId="3" xfId="0" applyNumberFormat="1" applyFont="1" applyFill="1" applyBorder="1">
      <alignment vertical="center"/>
    </xf>
    <xf numFmtId="0" fontId="15" fillId="2" borderId="2" xfId="0" applyNumberFormat="1" applyFont="1" applyFill="1" applyBorder="1">
      <alignment vertical="center"/>
    </xf>
    <xf numFmtId="0" fontId="15" fillId="2" borderId="4" xfId="0" applyNumberFormat="1" applyFont="1" applyFill="1" applyBorder="1">
      <alignment vertical="center"/>
    </xf>
    <xf numFmtId="0" fontId="15" fillId="2" borderId="5" xfId="0" applyNumberFormat="1" applyFont="1" applyFill="1" applyBorder="1">
      <alignment vertical="center"/>
    </xf>
    <xf numFmtId="0" fontId="15" fillId="2" borderId="1" xfId="0" applyNumberFormat="1" applyFont="1" applyFill="1" applyBorder="1">
      <alignment vertical="center"/>
    </xf>
    <xf numFmtId="0" fontId="15" fillId="2" borderId="6" xfId="0" applyNumberFormat="1" applyFont="1" applyFill="1" applyBorder="1">
      <alignment vertical="center"/>
    </xf>
    <xf numFmtId="0" fontId="15" fillId="2" borderId="7" xfId="0" applyNumberFormat="1" applyFont="1" applyFill="1" applyBorder="1">
      <alignment vertical="center"/>
    </xf>
    <xf numFmtId="0" fontId="15" fillId="2" borderId="8" xfId="0" applyNumberFormat="1" applyFont="1" applyFill="1" applyBorder="1">
      <alignment vertical="center"/>
    </xf>
    <xf numFmtId="0" fontId="15" fillId="2" borderId="9" xfId="0" applyNumberFormat="1" applyFont="1" applyFill="1" applyBorder="1">
      <alignment vertical="center"/>
    </xf>
    <xf numFmtId="0" fontId="17" fillId="2" borderId="0" xfId="0" applyFont="1" applyFill="1">
      <alignment vertical="center"/>
    </xf>
    <xf numFmtId="0" fontId="15" fillId="2" borderId="0" xfId="0" quotePrefix="1" applyFont="1" applyFill="1">
      <alignment vertical="center"/>
    </xf>
    <xf numFmtId="0" fontId="15" fillId="2" borderId="26" xfId="0" applyFont="1" applyFill="1" applyBorder="1">
      <alignment vertical="center"/>
    </xf>
    <xf numFmtId="0" fontId="17" fillId="2" borderId="26" xfId="0" applyFont="1" applyFill="1" applyBorder="1">
      <alignment vertical="center"/>
    </xf>
    <xf numFmtId="0" fontId="18" fillId="2" borderId="0" xfId="0" applyFont="1" applyFill="1">
      <alignment vertical="center"/>
    </xf>
    <xf numFmtId="0" fontId="17" fillId="20" borderId="27" xfId="0" applyFont="1" applyFill="1" applyBorder="1">
      <alignment vertical="center"/>
    </xf>
    <xf numFmtId="0" fontId="15" fillId="2" borderId="0" xfId="0" applyFont="1" applyFill="1" applyBorder="1">
      <alignment vertical="center"/>
    </xf>
    <xf numFmtId="0" fontId="17" fillId="20" borderId="29" xfId="0" applyFont="1" applyFill="1" applyBorder="1">
      <alignment vertical="center"/>
    </xf>
    <xf numFmtId="22" fontId="17" fillId="20" borderId="29" xfId="0" applyNumberFormat="1" applyFont="1" applyFill="1" applyBorder="1">
      <alignment vertical="center"/>
    </xf>
    <xf numFmtId="22" fontId="15" fillId="2" borderId="0" xfId="0" applyNumberFormat="1" applyFont="1" applyFill="1">
      <alignment vertical="center"/>
    </xf>
    <xf numFmtId="0" fontId="15" fillId="0" borderId="30" xfId="0" applyFont="1" applyFill="1" applyBorder="1">
      <alignment vertical="center"/>
    </xf>
    <xf numFmtId="0" fontId="17" fillId="20" borderId="31" xfId="0" applyFont="1" applyFill="1" applyBorder="1">
      <alignment vertical="center"/>
    </xf>
    <xf numFmtId="0" fontId="17" fillId="2" borderId="0" xfId="0" applyFont="1" applyFill="1" applyBorder="1">
      <alignment vertical="center"/>
    </xf>
    <xf numFmtId="0" fontId="15" fillId="2" borderId="2" xfId="0" applyFont="1" applyFill="1" applyBorder="1">
      <alignment vertical="center"/>
    </xf>
    <xf numFmtId="0" fontId="15" fillId="2" borderId="1" xfId="0" applyFont="1" applyFill="1" applyBorder="1">
      <alignment vertical="center"/>
    </xf>
    <xf numFmtId="0" fontId="15" fillId="2" borderId="8" xfId="0" applyFont="1" applyFill="1" applyBorder="1">
      <alignment vertical="center"/>
    </xf>
    <xf numFmtId="0" fontId="19" fillId="2" borderId="0" xfId="0" applyFont="1" applyFill="1">
      <alignment vertical="center"/>
    </xf>
    <xf numFmtId="0" fontId="20" fillId="2" borderId="0" xfId="0" applyFont="1" applyFill="1">
      <alignment vertical="center"/>
    </xf>
    <xf numFmtId="0" fontId="15" fillId="0" borderId="0" xfId="0" applyFont="1" applyFill="1" applyBorder="1">
      <alignment vertical="center"/>
    </xf>
    <xf numFmtId="0" fontId="15" fillId="0" borderId="28" xfId="0" applyFont="1" applyFill="1" applyBorder="1">
      <alignment vertical="center"/>
    </xf>
    <xf numFmtId="0" fontId="15" fillId="0" borderId="32" xfId="0" applyFont="1" applyFill="1" applyBorder="1">
      <alignment vertical="center"/>
    </xf>
    <xf numFmtId="0" fontId="9" fillId="3" borderId="14"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13" xfId="0" applyFont="1" applyFill="1" applyBorder="1" applyAlignment="1">
      <alignment horizontal="center" vertical="center"/>
    </xf>
    <xf numFmtId="0" fontId="9" fillId="3" borderId="23" xfId="0" applyFont="1" applyFill="1" applyBorder="1" applyAlignment="1">
      <alignment horizontal="center" vertical="center"/>
    </xf>
    <xf numFmtId="0" fontId="9" fillId="3" borderId="2"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1" xfId="0" applyFont="1" applyFill="1" applyBorder="1" applyAlignment="1">
      <alignment horizontal="center" vertical="center"/>
    </xf>
    <xf numFmtId="0" fontId="0" fillId="3" borderId="1" xfId="0" applyFill="1" applyBorder="1" applyAlignment="1">
      <alignment horizontal="center" vertical="center"/>
    </xf>
    <xf numFmtId="0" fontId="0" fillId="3" borderId="6" xfId="0" applyFill="1" applyBorder="1" applyAlignment="1">
      <alignment horizontal="center" vertical="center"/>
    </xf>
  </cellXfs>
  <cellStyles count="1">
    <cellStyle name="一般" xfId="0" builtinId="0"/>
  </cellStyles>
  <dxfs count="5">
    <dxf>
      <font>
        <color theme="1" tint="0.34998626667073579"/>
      </font>
      <fill>
        <patternFill>
          <bgColor theme="1"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patternType="solid">
          <fgColor indexed="64"/>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22" fmlaLink="$D$3" fmlaRange="$D$5:$D$12" noThreeD="1" sel="4" val="0"/>
</file>

<file path=xl/ctrlProps/ctrlProp2.xml><?xml version="1.0" encoding="utf-8"?>
<formControlPr xmlns="http://schemas.microsoft.com/office/spreadsheetml/2009/9/main" objectType="Drop" dropLines="3" dropStyle="combo" dx="22" fmlaLink="$C$3" fmlaRange="$C$5:$C$7"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25</xdr:row>
          <xdr:rowOff>200025</xdr:rowOff>
        </xdr:from>
        <xdr:to>
          <xdr:col>2</xdr:col>
          <xdr:colOff>2533650</xdr:colOff>
          <xdr:row>26</xdr:row>
          <xdr:rowOff>180975</xdr:rowOff>
        </xdr:to>
        <xdr:sp macro="" textlink="">
          <xdr:nvSpPr>
            <xdr:cNvPr id="3073" name="Board_droplist"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25</xdr:row>
          <xdr:rowOff>9525</xdr:rowOff>
        </xdr:from>
        <xdr:to>
          <xdr:col>2</xdr:col>
          <xdr:colOff>2533650</xdr:colOff>
          <xdr:row>25</xdr:row>
          <xdr:rowOff>190500</xdr:rowOff>
        </xdr:to>
        <xdr:sp macro="" textlink="">
          <xdr:nvSpPr>
            <xdr:cNvPr id="3075" name="AsicDropList"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21</xdr:row>
          <xdr:rowOff>180975</xdr:rowOff>
        </xdr:from>
        <xdr:to>
          <xdr:col>1</xdr:col>
          <xdr:colOff>1400175</xdr:colOff>
          <xdr:row>23</xdr:row>
          <xdr:rowOff>133350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Board Config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21</xdr:row>
          <xdr:rowOff>180975</xdr:rowOff>
        </xdr:from>
        <xdr:to>
          <xdr:col>2</xdr:col>
          <xdr:colOff>1343025</xdr:colOff>
          <xdr:row>23</xdr:row>
          <xdr:rowOff>133350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keil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21</xdr:row>
          <xdr:rowOff>180975</xdr:rowOff>
        </xdr:from>
        <xdr:to>
          <xdr:col>3</xdr:col>
          <xdr:colOff>1571625</xdr:colOff>
          <xdr:row>23</xdr:row>
          <xdr:rowOff>133350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all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2543175</xdr:colOff>
          <xdr:row>25</xdr:row>
          <xdr:rowOff>190500</xdr:rowOff>
        </xdr:from>
        <xdr:to>
          <xdr:col>2</xdr:col>
          <xdr:colOff>3438525</xdr:colOff>
          <xdr:row>26</xdr:row>
          <xdr:rowOff>190500</xdr:rowOff>
        </xdr:to>
        <xdr:sp macro="" textlink="">
          <xdr:nvSpPr>
            <xdr:cNvPr id="3133" name="Button 6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Delete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1781175</xdr:colOff>
          <xdr:row>21</xdr:row>
          <xdr:rowOff>180975</xdr:rowOff>
        </xdr:from>
        <xdr:to>
          <xdr:col>2</xdr:col>
          <xdr:colOff>3228975</xdr:colOff>
          <xdr:row>23</xdr:row>
          <xdr:rowOff>133350</xdr:rowOff>
        </xdr:to>
        <xdr:sp macro="" textlink="">
          <xdr:nvSpPr>
            <xdr:cNvPr id="3138" name="Button 66"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drv_init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19</xdr:row>
          <xdr:rowOff>133350</xdr:rowOff>
        </xdr:from>
        <xdr:to>
          <xdr:col>1</xdr:col>
          <xdr:colOff>1400175</xdr:colOff>
          <xdr:row>21</xdr:row>
          <xdr:rowOff>85725</xdr:rowOff>
        </xdr:to>
        <xdr:sp macro="" textlink="">
          <xdr:nvSpPr>
            <xdr:cNvPr id="3145" name="Button 73" hidden="1">
              <a:extLst>
                <a:ext uri="{63B3BB69-23CF-44E3-9099-C40C66FF867C}">
                  <a14:compatExt spid="_x0000_s3145"/>
                </a:ext>
                <a:ext uri="{FF2B5EF4-FFF2-40B4-BE49-F238E27FC236}">
                  <a16:creationId xmlns:a16="http://schemas.microsoft.com/office/drawing/2014/main" id="{00000000-0008-0000-0100-00004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Set project path</a:t>
              </a:r>
            </a:p>
          </xdr:txBody>
        </xdr:sp>
        <xdr:clientData fPrintsWithSheet="0"/>
      </xdr:twoCellAnchor>
    </mc:Choice>
    <mc:Fallback/>
  </mc:AlternateContent>
  <xdr:twoCellAnchor editAs="oneCell">
    <xdr:from>
      <xdr:col>3</xdr:col>
      <xdr:colOff>1722783</xdr:colOff>
      <xdr:row>19</xdr:row>
      <xdr:rowOff>140805</xdr:rowOff>
    </xdr:from>
    <xdr:to>
      <xdr:col>3</xdr:col>
      <xdr:colOff>3528334</xdr:colOff>
      <xdr:row>24</xdr:row>
      <xdr:rowOff>16566</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01609" y="140805"/>
          <a:ext cx="1805551" cy="8696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752475</xdr:colOff>
          <xdr:row>0</xdr:row>
          <xdr:rowOff>66675</xdr:rowOff>
        </xdr:from>
        <xdr:to>
          <xdr:col>8</xdr:col>
          <xdr:colOff>333375</xdr:colOff>
          <xdr:row>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Pinmux Config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247650</xdr:colOff>
          <xdr:row>2</xdr:row>
          <xdr:rowOff>9525</xdr:rowOff>
        </xdr:from>
        <xdr:to>
          <xdr:col>5</xdr:col>
          <xdr:colOff>381000</xdr:colOff>
          <xdr:row>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720ev 9x9 default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514350</xdr:colOff>
          <xdr:row>2</xdr:row>
          <xdr:rowOff>9525</xdr:rowOff>
        </xdr:from>
        <xdr:to>
          <xdr:col>5</xdr:col>
          <xdr:colOff>1990725</xdr:colOff>
          <xdr:row>3</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Reset for HW default</a:t>
              </a:r>
            </a:p>
          </xdr:txBody>
        </xdr:sp>
        <xdr:clientData fPrintsWithSheet="0"/>
      </xdr:twoCellAnchor>
    </mc:Choice>
    <mc:Fallback/>
  </mc:AlternateContent>
  <xdr:twoCellAnchor editAs="oneCell">
    <xdr:from>
      <xdr:col>1</xdr:col>
      <xdr:colOff>68039</xdr:colOff>
      <xdr:row>103</xdr:row>
      <xdr:rowOff>13608</xdr:rowOff>
    </xdr:from>
    <xdr:to>
      <xdr:col>5</xdr:col>
      <xdr:colOff>1342160</xdr:colOff>
      <xdr:row>326</xdr:row>
      <xdr:rowOff>121570</xdr:rowOff>
    </xdr:to>
    <xdr:pic>
      <xdr:nvPicPr>
        <xdr:cNvPr id="5" name="圖片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753839" y="21806808"/>
          <a:ext cx="4761137" cy="2203463"/>
        </a:xfrm>
        <a:prstGeom prst="rect">
          <a:avLst/>
        </a:prstGeom>
      </xdr:spPr>
    </xdr:pic>
    <xdr:clientData/>
  </xdr:twoCellAnchor>
  <xdr:twoCellAnchor>
    <xdr:from>
      <xdr:col>30</xdr:col>
      <xdr:colOff>261257</xdr:colOff>
      <xdr:row>46</xdr:row>
      <xdr:rowOff>21771</xdr:rowOff>
    </xdr:from>
    <xdr:to>
      <xdr:col>32</xdr:col>
      <xdr:colOff>54428</xdr:colOff>
      <xdr:row>47</xdr:row>
      <xdr:rowOff>239486</xdr:rowOff>
    </xdr:to>
    <xdr:sp macro="" textlink="">
      <xdr:nvSpPr>
        <xdr:cNvPr id="6" name="矩形 5">
          <a:extLst>
            <a:ext uri="{FF2B5EF4-FFF2-40B4-BE49-F238E27FC236}">
              <a16:creationId xmlns:a16="http://schemas.microsoft.com/office/drawing/2014/main" id="{00000000-0008-0000-0200-000006000000}"/>
            </a:ext>
          </a:extLst>
        </xdr:cNvPr>
        <xdr:cNvSpPr/>
      </xdr:nvSpPr>
      <xdr:spPr>
        <a:xfrm>
          <a:off x="12758057" y="9527721"/>
          <a:ext cx="2403021" cy="417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32</xdr:col>
      <xdr:colOff>261257</xdr:colOff>
      <xdr:row>46</xdr:row>
      <xdr:rowOff>21771</xdr:rowOff>
    </xdr:from>
    <xdr:to>
      <xdr:col>34</xdr:col>
      <xdr:colOff>54428</xdr:colOff>
      <xdr:row>47</xdr:row>
      <xdr:rowOff>239486</xdr:rowOff>
    </xdr:to>
    <xdr:sp macro="" textlink="">
      <xdr:nvSpPr>
        <xdr:cNvPr id="7" name="矩形 6">
          <a:extLst>
            <a:ext uri="{FF2B5EF4-FFF2-40B4-BE49-F238E27FC236}">
              <a16:creationId xmlns:a16="http://schemas.microsoft.com/office/drawing/2014/main" id="{00000000-0008-0000-0200-000007000000}"/>
            </a:ext>
          </a:extLst>
        </xdr:cNvPr>
        <xdr:cNvSpPr/>
      </xdr:nvSpPr>
      <xdr:spPr>
        <a:xfrm>
          <a:off x="15367907" y="9527721"/>
          <a:ext cx="2403021" cy="417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24</xdr:col>
      <xdr:colOff>1125682</xdr:colOff>
      <xdr:row>71</xdr:row>
      <xdr:rowOff>225406</xdr:rowOff>
    </xdr:from>
    <xdr:to>
      <xdr:col>25</xdr:col>
      <xdr:colOff>1546314</xdr:colOff>
      <xdr:row>73</xdr:row>
      <xdr:rowOff>190499</xdr:rowOff>
    </xdr:to>
    <xdr:sp macro="" textlink="">
      <xdr:nvSpPr>
        <xdr:cNvPr id="8" name="矩形 7">
          <a:extLst>
            <a:ext uri="{FF2B5EF4-FFF2-40B4-BE49-F238E27FC236}">
              <a16:creationId xmlns:a16="http://schemas.microsoft.com/office/drawing/2014/main" id="{00000000-0008-0000-0200-000008000000}"/>
            </a:ext>
          </a:extLst>
        </xdr:cNvPr>
        <xdr:cNvSpPr/>
      </xdr:nvSpPr>
      <xdr:spPr>
        <a:xfrm>
          <a:off x="5792932" y="14989156"/>
          <a:ext cx="1487432" cy="412768"/>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mc:AlternateContent xmlns:mc="http://schemas.openxmlformats.org/markup-compatibility/2006">
    <mc:Choice xmlns:a14="http://schemas.microsoft.com/office/drawing/2010/main" Requires="a14">
      <xdr:twoCellAnchor>
        <xdr:from>
          <xdr:col>10</xdr:col>
          <xdr:colOff>219075</xdr:colOff>
          <xdr:row>0</xdr:row>
          <xdr:rowOff>66675</xdr:rowOff>
        </xdr:from>
        <xdr:to>
          <xdr:col>12</xdr:col>
          <xdr:colOff>609600</xdr:colOff>
          <xdr:row>1</xdr:row>
          <xdr:rowOff>171450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Export GPIO config</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AFC46-A200-413A-A596-5B88CCE5C690}">
  <sheetPr codeName="工作表2"/>
  <dimension ref="C4:J42"/>
  <sheetViews>
    <sheetView topLeftCell="B4" zoomScale="85" zoomScaleNormal="85" workbookViewId="0">
      <pane xSplit="2" ySplit="2" topLeftCell="D6" activePane="bottomRight" state="frozen"/>
      <selection activeCell="B4" sqref="B4"/>
      <selection pane="topRight" activeCell="D4" sqref="D4"/>
      <selection pane="bottomLeft" activeCell="B6" sqref="B6"/>
      <selection pane="bottomRight" activeCell="C6" sqref="C6"/>
    </sheetView>
  </sheetViews>
  <sheetFormatPr defaultRowHeight="15.75" x14ac:dyDescent="0.25"/>
  <cols>
    <col min="1" max="2" width="9" style="101"/>
    <col min="3" max="3" width="30.75" style="101" customWidth="1"/>
    <col min="4" max="4" width="58.25" style="101" customWidth="1"/>
    <col min="5" max="5" width="24.875" style="101" customWidth="1"/>
    <col min="6" max="6" width="39" style="101" customWidth="1"/>
    <col min="7" max="7" width="38" style="101" customWidth="1"/>
    <col min="8" max="8" width="51" style="101" bestFit="1" customWidth="1"/>
    <col min="9" max="9" width="50.25" style="101" bestFit="1" customWidth="1"/>
    <col min="10" max="10" width="49.375" style="101" bestFit="1" customWidth="1"/>
    <col min="11" max="16384" width="9" style="101"/>
  </cols>
  <sheetData>
    <row r="4" spans="3:10" ht="16.5" thickBot="1" x14ac:dyDescent="0.3">
      <c r="C4" s="101">
        <f>COUNTIF(C6:C205, "*_*")</f>
        <v>33</v>
      </c>
    </row>
    <row r="5" spans="3:10" x14ac:dyDescent="0.25">
      <c r="C5" s="102" t="s">
        <v>540</v>
      </c>
      <c r="D5" s="103" t="s">
        <v>587</v>
      </c>
      <c r="E5" s="103" t="s">
        <v>588</v>
      </c>
      <c r="F5" s="103" t="s">
        <v>589</v>
      </c>
      <c r="G5" s="103" t="s">
        <v>612</v>
      </c>
      <c r="H5" s="103" t="s">
        <v>582</v>
      </c>
      <c r="I5" s="103" t="s">
        <v>613</v>
      </c>
      <c r="J5" s="104" t="s">
        <v>579</v>
      </c>
    </row>
    <row r="6" spans="3:10" x14ac:dyDescent="0.25">
      <c r="C6" s="105" t="s">
        <v>532</v>
      </c>
      <c r="D6" s="106" t="s">
        <v>607</v>
      </c>
      <c r="E6" s="106"/>
      <c r="F6" s="106" t="s">
        <v>606</v>
      </c>
      <c r="G6" s="106" t="s">
        <v>684</v>
      </c>
      <c r="H6" s="106" t="s">
        <v>583</v>
      </c>
      <c r="I6" s="106" t="s">
        <v>614</v>
      </c>
      <c r="J6" s="107"/>
    </row>
    <row r="7" spans="3:10" x14ac:dyDescent="0.25">
      <c r="C7" s="105" t="s">
        <v>533</v>
      </c>
      <c r="D7" s="106" t="s">
        <v>628</v>
      </c>
      <c r="E7" s="106"/>
      <c r="F7" s="106"/>
      <c r="G7" s="106" t="s">
        <v>685</v>
      </c>
      <c r="H7" s="106" t="s">
        <v>583</v>
      </c>
      <c r="I7" s="106" t="s">
        <v>614</v>
      </c>
      <c r="J7" s="107"/>
    </row>
    <row r="8" spans="3:10" x14ac:dyDescent="0.25">
      <c r="C8" s="105" t="s">
        <v>534</v>
      </c>
      <c r="D8" s="106" t="s">
        <v>629</v>
      </c>
      <c r="E8" s="106"/>
      <c r="F8" s="106"/>
      <c r="G8" s="106" t="s">
        <v>685</v>
      </c>
      <c r="H8" s="106" t="s">
        <v>583</v>
      </c>
      <c r="I8" s="106" t="s">
        <v>614</v>
      </c>
      <c r="J8" s="107"/>
    </row>
    <row r="9" spans="3:10" x14ac:dyDescent="0.25">
      <c r="C9" s="105" t="s">
        <v>480</v>
      </c>
      <c r="D9" s="106"/>
      <c r="E9" s="106" t="s">
        <v>590</v>
      </c>
      <c r="F9" s="106"/>
      <c r="G9" s="106" t="s">
        <v>686</v>
      </c>
      <c r="H9" s="106" t="s">
        <v>583</v>
      </c>
      <c r="I9" s="106" t="s">
        <v>614</v>
      </c>
      <c r="J9" s="107" t="s">
        <v>591</v>
      </c>
    </row>
    <row r="10" spans="3:10" x14ac:dyDescent="0.25">
      <c r="C10" s="105" t="s">
        <v>481</v>
      </c>
      <c r="D10" s="106"/>
      <c r="E10" s="106" t="s">
        <v>592</v>
      </c>
      <c r="F10" s="106"/>
      <c r="G10" s="106" t="s">
        <v>686</v>
      </c>
      <c r="H10" s="106" t="s">
        <v>583</v>
      </c>
      <c r="I10" s="106" t="s">
        <v>614</v>
      </c>
      <c r="J10" s="107" t="s">
        <v>593</v>
      </c>
    </row>
    <row r="11" spans="3:10" x14ac:dyDescent="0.25">
      <c r="C11" s="105" t="s">
        <v>477</v>
      </c>
      <c r="D11" s="106"/>
      <c r="E11" s="106" t="s">
        <v>576</v>
      </c>
      <c r="F11" s="106"/>
      <c r="G11" s="106" t="s">
        <v>686</v>
      </c>
      <c r="H11" s="106" t="s">
        <v>583</v>
      </c>
      <c r="I11" s="106" t="s">
        <v>614</v>
      </c>
      <c r="J11" s="107" t="s">
        <v>594</v>
      </c>
    </row>
    <row r="12" spans="3:10" x14ac:dyDescent="0.25">
      <c r="C12" s="105" t="s">
        <v>478</v>
      </c>
      <c r="D12" s="106"/>
      <c r="E12" s="106" t="s">
        <v>577</v>
      </c>
      <c r="F12" s="106"/>
      <c r="G12" s="106" t="s">
        <v>686</v>
      </c>
      <c r="H12" s="106" t="s">
        <v>583</v>
      </c>
      <c r="I12" s="106" t="s">
        <v>614</v>
      </c>
      <c r="J12" s="107" t="s">
        <v>594</v>
      </c>
    </row>
    <row r="13" spans="3:10" x14ac:dyDescent="0.25">
      <c r="C13" s="105" t="s">
        <v>479</v>
      </c>
      <c r="D13" s="106"/>
      <c r="E13" s="106" t="s">
        <v>578</v>
      </c>
      <c r="F13" s="106"/>
      <c r="G13" s="106" t="s">
        <v>686</v>
      </c>
      <c r="H13" s="106" t="s">
        <v>583</v>
      </c>
      <c r="I13" s="106" t="s">
        <v>614</v>
      </c>
      <c r="J13" s="107" t="s">
        <v>594</v>
      </c>
    </row>
    <row r="14" spans="3:10" x14ac:dyDescent="0.25">
      <c r="C14" s="105" t="s">
        <v>487</v>
      </c>
      <c r="D14" s="106" t="s">
        <v>595</v>
      </c>
      <c r="E14" s="106"/>
      <c r="F14" s="106"/>
      <c r="G14" s="106" t="s">
        <v>685</v>
      </c>
      <c r="H14" s="106" t="s">
        <v>645</v>
      </c>
      <c r="I14" s="106" t="s">
        <v>615</v>
      </c>
      <c r="J14" s="107"/>
    </row>
    <row r="15" spans="3:10" x14ac:dyDescent="0.25">
      <c r="C15" s="105" t="s">
        <v>488</v>
      </c>
      <c r="D15" s="106" t="s">
        <v>596</v>
      </c>
      <c r="E15" s="106"/>
      <c r="F15" s="106"/>
      <c r="G15" s="106" t="s">
        <v>685</v>
      </c>
      <c r="H15" s="106" t="s">
        <v>583</v>
      </c>
      <c r="I15" s="106" t="s">
        <v>616</v>
      </c>
      <c r="J15" s="107"/>
    </row>
    <row r="16" spans="3:10" x14ac:dyDescent="0.25">
      <c r="C16" s="105" t="s">
        <v>570</v>
      </c>
      <c r="D16" s="106"/>
      <c r="E16" s="106" t="s">
        <v>597</v>
      </c>
      <c r="F16" s="106"/>
      <c r="G16" s="106" t="s">
        <v>686</v>
      </c>
      <c r="H16" s="106"/>
      <c r="I16" s="106"/>
      <c r="J16" s="107"/>
    </row>
    <row r="17" spans="3:10" x14ac:dyDescent="0.25">
      <c r="C17" s="105" t="s">
        <v>575</v>
      </c>
      <c r="D17" s="106"/>
      <c r="E17" s="106" t="s">
        <v>597</v>
      </c>
      <c r="F17" s="106"/>
      <c r="G17" s="106" t="s">
        <v>686</v>
      </c>
      <c r="H17" s="106"/>
      <c r="I17" s="106"/>
      <c r="J17" s="107"/>
    </row>
    <row r="18" spans="3:10" x14ac:dyDescent="0.25">
      <c r="C18" s="105" t="s">
        <v>571</v>
      </c>
      <c r="D18" s="106"/>
      <c r="E18" s="106" t="s">
        <v>598</v>
      </c>
      <c r="F18" s="106"/>
      <c r="G18" s="106" t="s">
        <v>686</v>
      </c>
      <c r="H18" s="106"/>
      <c r="I18" s="106"/>
      <c r="J18" s="107"/>
    </row>
    <row r="19" spans="3:10" x14ac:dyDescent="0.25">
      <c r="C19" s="105" t="s">
        <v>572</v>
      </c>
      <c r="D19" s="106"/>
      <c r="E19" s="106" t="s">
        <v>598</v>
      </c>
      <c r="F19" s="106"/>
      <c r="G19" s="106" t="s">
        <v>686</v>
      </c>
      <c r="H19" s="106"/>
      <c r="I19" s="106"/>
      <c r="J19" s="107"/>
    </row>
    <row r="20" spans="3:10" x14ac:dyDescent="0.25">
      <c r="C20" s="105" t="s">
        <v>573</v>
      </c>
      <c r="D20" s="106"/>
      <c r="E20" s="106"/>
      <c r="F20" s="106"/>
      <c r="G20" s="106" t="s">
        <v>686</v>
      </c>
      <c r="H20" s="106"/>
      <c r="I20" s="106"/>
      <c r="J20" s="107"/>
    </row>
    <row r="21" spans="3:10" x14ac:dyDescent="0.25">
      <c r="C21" s="105" t="s">
        <v>574</v>
      </c>
      <c r="D21" s="106"/>
      <c r="E21" s="106"/>
      <c r="F21" s="106"/>
      <c r="G21" s="106" t="s">
        <v>686</v>
      </c>
      <c r="H21" s="106"/>
      <c r="I21" s="106"/>
      <c r="J21" s="107"/>
    </row>
    <row r="22" spans="3:10" x14ac:dyDescent="0.25">
      <c r="C22" s="105" t="s">
        <v>551</v>
      </c>
      <c r="D22" s="106" t="s">
        <v>630</v>
      </c>
      <c r="E22" s="106"/>
      <c r="F22" s="106"/>
      <c r="G22" s="106" t="s">
        <v>685</v>
      </c>
      <c r="H22" s="106" t="s">
        <v>599</v>
      </c>
      <c r="I22" s="106" t="s">
        <v>617</v>
      </c>
      <c r="J22" s="107"/>
    </row>
    <row r="23" spans="3:10" x14ac:dyDescent="0.25">
      <c r="C23" s="105" t="s">
        <v>553</v>
      </c>
      <c r="D23" s="106" t="s">
        <v>648</v>
      </c>
      <c r="E23" s="106"/>
      <c r="F23" s="106" t="s">
        <v>580</v>
      </c>
      <c r="G23" s="106" t="s">
        <v>684</v>
      </c>
      <c r="H23" s="106" t="s">
        <v>647</v>
      </c>
      <c r="I23" s="106" t="s">
        <v>627</v>
      </c>
      <c r="J23" s="107"/>
    </row>
    <row r="24" spans="3:10" x14ac:dyDescent="0.25">
      <c r="C24" s="105" t="s">
        <v>555</v>
      </c>
      <c r="D24" s="106" t="s">
        <v>631</v>
      </c>
      <c r="E24" s="106"/>
      <c r="F24" s="106"/>
      <c r="G24" s="106" t="s">
        <v>685</v>
      </c>
      <c r="H24" s="106" t="s">
        <v>584</v>
      </c>
      <c r="I24" s="106" t="s">
        <v>618</v>
      </c>
      <c r="J24" s="107"/>
    </row>
    <row r="25" spans="3:10" x14ac:dyDescent="0.25">
      <c r="C25" s="108" t="s">
        <v>557</v>
      </c>
      <c r="D25" s="106" t="s">
        <v>632</v>
      </c>
      <c r="E25" s="106"/>
      <c r="F25" s="106"/>
      <c r="G25" s="106" t="s">
        <v>685</v>
      </c>
      <c r="H25" s="106" t="s">
        <v>600</v>
      </c>
      <c r="I25" s="106" t="s">
        <v>619</v>
      </c>
      <c r="J25" s="107"/>
    </row>
    <row r="26" spans="3:10" x14ac:dyDescent="0.25">
      <c r="C26" s="105" t="s">
        <v>559</v>
      </c>
      <c r="D26" s="106" t="s">
        <v>633</v>
      </c>
      <c r="E26" s="106"/>
      <c r="F26" s="106"/>
      <c r="G26" s="106" t="s">
        <v>685</v>
      </c>
      <c r="H26" s="106"/>
      <c r="I26" s="106" t="s">
        <v>620</v>
      </c>
      <c r="J26" s="107"/>
    </row>
    <row r="27" spans="3:10" x14ac:dyDescent="0.25">
      <c r="C27" s="105" t="s">
        <v>561</v>
      </c>
      <c r="D27" s="106" t="s">
        <v>634</v>
      </c>
      <c r="E27" s="106"/>
      <c r="F27" s="106"/>
      <c r="G27" s="106" t="s">
        <v>685</v>
      </c>
      <c r="H27" s="106" t="s">
        <v>601</v>
      </c>
      <c r="I27" s="106" t="s">
        <v>621</v>
      </c>
      <c r="J27" s="107"/>
    </row>
    <row r="28" spans="3:10" x14ac:dyDescent="0.25">
      <c r="C28" s="105" t="s">
        <v>563</v>
      </c>
      <c r="D28" s="106" t="s">
        <v>635</v>
      </c>
      <c r="E28" s="106"/>
      <c r="F28" s="106"/>
      <c r="G28" s="106" t="s">
        <v>685</v>
      </c>
      <c r="H28" s="106" t="s">
        <v>586</v>
      </c>
      <c r="I28" s="106" t="s">
        <v>622</v>
      </c>
      <c r="J28" s="107"/>
    </row>
    <row r="29" spans="3:10" x14ac:dyDescent="0.25">
      <c r="C29" s="105" t="s">
        <v>565</v>
      </c>
      <c r="D29" s="106"/>
      <c r="E29" s="106"/>
      <c r="F29" s="106"/>
      <c r="G29" s="106" t="s">
        <v>684</v>
      </c>
      <c r="H29" s="106"/>
      <c r="I29" s="106"/>
      <c r="J29" s="107"/>
    </row>
    <row r="30" spans="3:10" x14ac:dyDescent="0.25">
      <c r="C30" s="105" t="s">
        <v>569</v>
      </c>
      <c r="D30" s="106" t="s">
        <v>636</v>
      </c>
      <c r="E30" s="106"/>
      <c r="F30" s="106"/>
      <c r="G30" s="106" t="s">
        <v>685</v>
      </c>
      <c r="H30" s="106"/>
      <c r="I30" s="106" t="s">
        <v>623</v>
      </c>
      <c r="J30" s="107"/>
    </row>
    <row r="31" spans="3:10" x14ac:dyDescent="0.25">
      <c r="C31" s="105" t="s">
        <v>568</v>
      </c>
      <c r="D31" s="106" t="s">
        <v>637</v>
      </c>
      <c r="E31" s="106"/>
      <c r="F31" s="106"/>
      <c r="G31" s="106" t="s">
        <v>685</v>
      </c>
      <c r="H31" s="106" t="s">
        <v>650</v>
      </c>
      <c r="I31" s="106" t="s">
        <v>624</v>
      </c>
      <c r="J31" s="107"/>
    </row>
    <row r="32" spans="3:10" x14ac:dyDescent="0.25">
      <c r="C32" s="105" t="s">
        <v>482</v>
      </c>
      <c r="D32" s="106" t="s">
        <v>602</v>
      </c>
      <c r="E32" s="106"/>
      <c r="F32" s="106"/>
      <c r="G32" s="106" t="s">
        <v>685</v>
      </c>
      <c r="H32" s="106" t="s">
        <v>585</v>
      </c>
      <c r="I32" s="106" t="s">
        <v>625</v>
      </c>
      <c r="J32" s="107"/>
    </row>
    <row r="33" spans="3:10" x14ac:dyDescent="0.25">
      <c r="C33" s="105" t="s">
        <v>483</v>
      </c>
      <c r="D33" s="106" t="s">
        <v>603</v>
      </c>
      <c r="E33" s="106"/>
      <c r="F33" s="106"/>
      <c r="G33" s="106" t="s">
        <v>685</v>
      </c>
      <c r="H33" s="106" t="s">
        <v>585</v>
      </c>
      <c r="I33" s="106" t="s">
        <v>625</v>
      </c>
      <c r="J33" s="107"/>
    </row>
    <row r="34" spans="3:10" x14ac:dyDescent="0.25">
      <c r="C34" s="105" t="s">
        <v>489</v>
      </c>
      <c r="D34" s="106"/>
      <c r="E34" s="106" t="s">
        <v>604</v>
      </c>
      <c r="F34" s="106"/>
      <c r="G34" s="106" t="s">
        <v>686</v>
      </c>
      <c r="H34" s="106"/>
      <c r="I34" s="106" t="s">
        <v>625</v>
      </c>
      <c r="J34" s="107"/>
    </row>
    <row r="35" spans="3:10" x14ac:dyDescent="0.25">
      <c r="C35" s="105" t="s">
        <v>490</v>
      </c>
      <c r="D35" s="106"/>
      <c r="E35" s="106" t="s">
        <v>605</v>
      </c>
      <c r="F35" s="106"/>
      <c r="G35" s="106" t="s">
        <v>686</v>
      </c>
      <c r="H35" s="106"/>
      <c r="I35" s="106" t="s">
        <v>625</v>
      </c>
      <c r="J35" s="107"/>
    </row>
    <row r="36" spans="3:10" x14ac:dyDescent="0.25">
      <c r="C36" s="105" t="s">
        <v>535</v>
      </c>
      <c r="D36" s="106" t="s">
        <v>609</v>
      </c>
      <c r="E36" s="106"/>
      <c r="F36" s="106"/>
      <c r="G36" s="106" t="s">
        <v>685</v>
      </c>
      <c r="H36" s="106" t="s">
        <v>645</v>
      </c>
      <c r="I36" s="106" t="s">
        <v>615</v>
      </c>
      <c r="J36" s="107"/>
    </row>
    <row r="37" spans="3:10" x14ac:dyDescent="0.25">
      <c r="C37" s="105" t="s">
        <v>608</v>
      </c>
      <c r="D37" s="106" t="s">
        <v>610</v>
      </c>
      <c r="E37" s="106"/>
      <c r="F37" s="106"/>
      <c r="G37" s="106" t="s">
        <v>685</v>
      </c>
      <c r="H37" s="106" t="s">
        <v>646</v>
      </c>
      <c r="I37" s="106" t="s">
        <v>616</v>
      </c>
      <c r="J37" s="107"/>
    </row>
    <row r="38" spans="3:10" ht="16.5" thickBot="1" x14ac:dyDescent="0.3">
      <c r="C38" s="109" t="s">
        <v>568</v>
      </c>
      <c r="D38" s="110" t="s">
        <v>654</v>
      </c>
      <c r="E38" s="110"/>
      <c r="F38" s="110" t="s">
        <v>611</v>
      </c>
      <c r="G38" s="110" t="s">
        <v>687</v>
      </c>
      <c r="H38" s="110"/>
      <c r="I38" s="110" t="s">
        <v>626</v>
      </c>
      <c r="J38" s="111"/>
    </row>
    <row r="42" spans="3:10" x14ac:dyDescent="0.25">
      <c r="H42" s="112"/>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BFC85-9745-484E-B9FD-3ECC68364807}">
  <sheetPr codeName="工作表1"/>
  <dimension ref="A1:DE300"/>
  <sheetViews>
    <sheetView zoomScale="85" zoomScaleNormal="85" workbookViewId="0">
      <pane xSplit="3" ySplit="33" topLeftCell="D34" activePane="bottomRight" state="frozen"/>
      <selection activeCell="A20" sqref="A20"/>
      <selection pane="topRight" activeCell="D20" sqref="D20"/>
      <selection pane="bottomLeft" activeCell="A34" sqref="A34"/>
      <selection pane="bottomRight" sqref="A1:XFD19"/>
    </sheetView>
  </sheetViews>
  <sheetFormatPr defaultRowHeight="15.75" x14ac:dyDescent="0.25"/>
  <cols>
    <col min="1" max="1" width="9" style="101"/>
    <col min="2" max="2" width="25.5" style="101" customWidth="1"/>
    <col min="3" max="3" width="46.5" style="122" customWidth="1"/>
    <col min="4" max="10" width="46.5" style="101" customWidth="1"/>
    <col min="11" max="11" width="9" style="101"/>
    <col min="12" max="12" width="19" style="101" bestFit="1" customWidth="1"/>
    <col min="13" max="13" width="24.75" style="101" bestFit="1" customWidth="1"/>
    <col min="14" max="14" width="34.25" style="101" bestFit="1" customWidth="1"/>
    <col min="15" max="15" width="32.75" style="101" bestFit="1" customWidth="1"/>
    <col min="16" max="16" width="21.5" style="101" bestFit="1" customWidth="1"/>
    <col min="17" max="30" width="9" style="101"/>
    <col min="31" max="31" width="9.75" style="101" customWidth="1"/>
    <col min="32" max="16384" width="9" style="101"/>
  </cols>
  <sheetData>
    <row r="1" spans="3:109" hidden="1" x14ac:dyDescent="0.25">
      <c r="D1" s="101">
        <f>( COUNTIF(D5:D19, "*_*"))</f>
        <v>5</v>
      </c>
      <c r="F1" s="101">
        <f>( COUNTIF(F5:F19, "*_*"))</f>
        <v>3</v>
      </c>
      <c r="G1" s="101">
        <f t="shared" ref="G1:BC1" si="0">( COUNTIF(G5:G19, "*_*"))</f>
        <v>3</v>
      </c>
      <c r="I1" s="101">
        <f t="shared" si="0"/>
        <v>4</v>
      </c>
      <c r="J1" s="101">
        <f t="shared" si="0"/>
        <v>4</v>
      </c>
      <c r="K1" s="101">
        <f t="shared" si="0"/>
        <v>4</v>
      </c>
      <c r="L1" s="101">
        <f t="shared" si="0"/>
        <v>4</v>
      </c>
      <c r="M1" s="101">
        <f t="shared" si="0"/>
        <v>6</v>
      </c>
      <c r="N1" s="101">
        <f t="shared" si="0"/>
        <v>7</v>
      </c>
      <c r="O1" s="101">
        <f t="shared" si="0"/>
        <v>3</v>
      </c>
      <c r="P1" s="101">
        <f t="shared" si="0"/>
        <v>5</v>
      </c>
      <c r="Q1" s="101">
        <f t="shared" si="0"/>
        <v>2</v>
      </c>
      <c r="R1" s="101">
        <f t="shared" si="0"/>
        <v>2</v>
      </c>
      <c r="S1" s="101">
        <f t="shared" si="0"/>
        <v>2</v>
      </c>
      <c r="T1" s="101">
        <f t="shared" si="0"/>
        <v>2</v>
      </c>
      <c r="U1" s="101">
        <f t="shared" si="0"/>
        <v>2</v>
      </c>
      <c r="V1" s="101">
        <f t="shared" si="0"/>
        <v>2</v>
      </c>
      <c r="W1" s="101">
        <f t="shared" si="0"/>
        <v>2</v>
      </c>
      <c r="X1" s="101">
        <f t="shared" si="0"/>
        <v>2</v>
      </c>
      <c r="Y1" s="101">
        <f t="shared" si="0"/>
        <v>2</v>
      </c>
      <c r="Z1" s="101">
        <f t="shared" si="0"/>
        <v>2</v>
      </c>
      <c r="AA1" s="101">
        <f t="shared" si="0"/>
        <v>0</v>
      </c>
      <c r="AB1" s="101">
        <f t="shared" si="0"/>
        <v>0</v>
      </c>
      <c r="AC1" s="101">
        <f t="shared" si="0"/>
        <v>0</v>
      </c>
      <c r="AD1" s="101">
        <f t="shared" si="0"/>
        <v>0</v>
      </c>
      <c r="AE1" s="101">
        <f t="shared" si="0"/>
        <v>0</v>
      </c>
      <c r="AF1" s="101">
        <f t="shared" si="0"/>
        <v>0</v>
      </c>
      <c r="AG1" s="101">
        <f t="shared" si="0"/>
        <v>0</v>
      </c>
      <c r="AH1" s="101">
        <f t="shared" si="0"/>
        <v>0</v>
      </c>
      <c r="AI1" s="101">
        <f t="shared" si="0"/>
        <v>0</v>
      </c>
      <c r="AJ1" s="101">
        <f t="shared" si="0"/>
        <v>0</v>
      </c>
      <c r="AK1" s="101">
        <f t="shared" si="0"/>
        <v>0</v>
      </c>
      <c r="AL1" s="101">
        <f t="shared" si="0"/>
        <v>0</v>
      </c>
      <c r="AM1" s="101">
        <f t="shared" si="0"/>
        <v>0</v>
      </c>
      <c r="AN1" s="101">
        <f t="shared" si="0"/>
        <v>0</v>
      </c>
      <c r="AO1" s="101">
        <f t="shared" si="0"/>
        <v>0</v>
      </c>
      <c r="AP1" s="101">
        <f t="shared" si="0"/>
        <v>0</v>
      </c>
      <c r="AQ1" s="101">
        <f t="shared" si="0"/>
        <v>0</v>
      </c>
      <c r="AR1" s="101">
        <f t="shared" si="0"/>
        <v>0</v>
      </c>
      <c r="AS1" s="101">
        <f t="shared" si="0"/>
        <v>0</v>
      </c>
      <c r="AT1" s="101">
        <f t="shared" si="0"/>
        <v>0</v>
      </c>
      <c r="AU1" s="101">
        <f t="shared" si="0"/>
        <v>0</v>
      </c>
      <c r="AV1" s="101">
        <f t="shared" si="0"/>
        <v>0</v>
      </c>
      <c r="AW1" s="101">
        <f t="shared" si="0"/>
        <v>0</v>
      </c>
      <c r="AX1" s="101">
        <f t="shared" si="0"/>
        <v>0</v>
      </c>
      <c r="AY1" s="101">
        <f t="shared" si="0"/>
        <v>0</v>
      </c>
      <c r="AZ1" s="101">
        <f t="shared" si="0"/>
        <v>0</v>
      </c>
      <c r="BA1" s="101">
        <f t="shared" si="0"/>
        <v>0</v>
      </c>
      <c r="BB1" s="101">
        <f t="shared" si="0"/>
        <v>0</v>
      </c>
      <c r="BC1" s="101">
        <f t="shared" si="0"/>
        <v>0</v>
      </c>
    </row>
    <row r="2" spans="3:109" ht="16.5" hidden="1" x14ac:dyDescent="0.25">
      <c r="D2" s="123"/>
      <c r="F2" s="101" t="s">
        <v>491</v>
      </c>
      <c r="G2" s="1" t="s">
        <v>492</v>
      </c>
      <c r="H2" s="1" t="s">
        <v>493</v>
      </c>
      <c r="I2" s="1" t="s">
        <v>539</v>
      </c>
      <c r="J2" s="1" t="s">
        <v>665</v>
      </c>
      <c r="K2" s="1" t="s">
        <v>664</v>
      </c>
      <c r="L2" s="1" t="s">
        <v>668</v>
      </c>
      <c r="M2" s="1" t="s">
        <v>529</v>
      </c>
      <c r="N2" s="1" t="s">
        <v>530</v>
      </c>
      <c r="O2" s="1" t="s">
        <v>511</v>
      </c>
      <c r="P2" s="1" t="s">
        <v>531</v>
      </c>
      <c r="Q2" s="1" t="s">
        <v>542</v>
      </c>
      <c r="R2" s="1" t="s">
        <v>543</v>
      </c>
      <c r="S2" s="1" t="s">
        <v>544</v>
      </c>
      <c r="T2" s="1" t="s">
        <v>545</v>
      </c>
      <c r="U2" s="1" t="s">
        <v>546</v>
      </c>
      <c r="V2" s="1" t="s">
        <v>547</v>
      </c>
      <c r="W2" s="1" t="s">
        <v>548</v>
      </c>
      <c r="X2" s="1" t="s">
        <v>549</v>
      </c>
      <c r="Y2" s="1" t="s">
        <v>567</v>
      </c>
      <c r="Z2" s="1" t="s">
        <v>659</v>
      </c>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row>
    <row r="3" spans="3:109" hidden="1" x14ac:dyDescent="0.25">
      <c r="C3" s="122">
        <v>2</v>
      </c>
      <c r="D3" s="101">
        <v>4</v>
      </c>
      <c r="F3" s="101">
        <v>1</v>
      </c>
      <c r="G3" s="101">
        <v>1</v>
      </c>
      <c r="I3" s="101">
        <v>1</v>
      </c>
      <c r="J3" s="101">
        <v>1</v>
      </c>
      <c r="K3" s="101">
        <v>1</v>
      </c>
      <c r="L3" s="101">
        <v>1</v>
      </c>
      <c r="M3" s="101">
        <v>1</v>
      </c>
      <c r="N3" s="101">
        <v>1</v>
      </c>
      <c r="O3" s="101">
        <v>1</v>
      </c>
      <c r="P3" s="101">
        <v>1</v>
      </c>
      <c r="Q3" s="101">
        <v>1</v>
      </c>
      <c r="R3" s="101">
        <v>1</v>
      </c>
      <c r="S3" s="101">
        <v>1</v>
      </c>
      <c r="T3" s="101">
        <v>1</v>
      </c>
      <c r="U3" s="101">
        <v>1</v>
      </c>
      <c r="V3" s="101">
        <v>1</v>
      </c>
      <c r="W3" s="101">
        <v>1</v>
      </c>
      <c r="X3" s="101">
        <v>1</v>
      </c>
      <c r="Y3" s="101">
        <v>1</v>
      </c>
      <c r="Z3" s="101">
        <v>1</v>
      </c>
      <c r="AA3" s="101">
        <v>1</v>
      </c>
      <c r="AB3" s="101">
        <v>1</v>
      </c>
      <c r="AC3" s="101">
        <v>1</v>
      </c>
      <c r="AD3" s="101">
        <v>1</v>
      </c>
      <c r="AE3" s="101">
        <v>1</v>
      </c>
      <c r="AF3" s="101">
        <v>1</v>
      </c>
      <c r="AG3" s="101">
        <v>1</v>
      </c>
      <c r="AH3" s="101">
        <v>1</v>
      </c>
      <c r="AI3" s="101">
        <v>1</v>
      </c>
      <c r="AJ3" s="101">
        <v>1</v>
      </c>
      <c r="AK3" s="101">
        <v>1</v>
      </c>
      <c r="AL3" s="101">
        <v>1</v>
      </c>
      <c r="AM3" s="101">
        <v>1</v>
      </c>
      <c r="AN3" s="101">
        <v>1</v>
      </c>
      <c r="AO3" s="101">
        <v>1</v>
      </c>
      <c r="AP3" s="101">
        <v>1</v>
      </c>
      <c r="AQ3" s="101">
        <v>1</v>
      </c>
      <c r="AR3" s="101">
        <v>1</v>
      </c>
      <c r="AS3" s="101">
        <v>1</v>
      </c>
      <c r="AT3" s="101">
        <v>1</v>
      </c>
      <c r="AU3" s="101">
        <v>1</v>
      </c>
      <c r="AV3" s="101">
        <v>1</v>
      </c>
      <c r="AW3" s="101">
        <v>1</v>
      </c>
      <c r="AX3" s="101">
        <v>1</v>
      </c>
      <c r="AY3" s="101">
        <v>1</v>
      </c>
      <c r="AZ3" s="101">
        <v>1</v>
      </c>
      <c r="BA3" s="101">
        <v>1</v>
      </c>
      <c r="BB3" s="101">
        <v>1</v>
      </c>
      <c r="BC3" s="101">
        <v>1</v>
      </c>
    </row>
    <row r="4" spans="3:109" s="124" customFormat="1" hidden="1" x14ac:dyDescent="0.25">
      <c r="C4" s="125" t="str">
        <f>INDEX(C5:C8, C3, 0)</f>
        <v>kl720</v>
      </c>
      <c r="D4" s="124" t="str">
        <f>IF(INDEX(D5:D14, D3, 0)&lt;&gt;0, INDEX(D5:D14, D3, 0), "")</f>
        <v>board_sn720ev_9x9</v>
      </c>
      <c r="F4" s="124" t="str">
        <f>INDEX(F5:F19, F3, 0)</f>
        <v>DISPLAY_DEVICE_LCDC</v>
      </c>
      <c r="G4" s="124" t="str">
        <f t="shared" ref="G4:BC4" si="1">INDEX(G5:G19, G3, 0)</f>
        <v>DISPLAY_PANEL_MZT_480X272</v>
      </c>
      <c r="I4" s="124" t="str">
        <f t="shared" si="1"/>
        <v>COMM_SUPPORT_I2C</v>
      </c>
      <c r="J4" s="124" t="str">
        <f t="shared" si="1"/>
        <v>COMM_PORT_ID_0</v>
      </c>
      <c r="K4" s="124" t="str">
        <f t="shared" si="1"/>
        <v>COMM_I2CSPEED_100K</v>
      </c>
      <c r="L4" s="124" t="str">
        <f t="shared" si="1"/>
        <v>COMM_SPIMODE_MODE_0</v>
      </c>
      <c r="M4" s="124" t="str">
        <f t="shared" si="1"/>
        <v>FLASH_TYPE_WINBOND_NOR</v>
      </c>
      <c r="N4" s="124" t="str">
        <f t="shared" si="1"/>
        <v>FLASH_SIZE_64MBIT</v>
      </c>
      <c r="O4" s="124" t="str">
        <f t="shared" si="1"/>
        <v>FLASH_COMM_SPEED_25MHZ</v>
      </c>
      <c r="P4" s="124" t="str">
        <f t="shared" si="1"/>
        <v>FLASH_DRV_NORMAL_MODE</v>
      </c>
      <c r="Q4" s="124" t="str">
        <f t="shared" si="1"/>
        <v>SUPPORT_ADC_DISABLE</v>
      </c>
      <c r="R4" s="124" t="str">
        <f t="shared" si="1"/>
        <v>SUPPORT_DDR_DISABLE</v>
      </c>
      <c r="S4" s="124" t="str">
        <f t="shared" si="1"/>
        <v>SUPPORT_GDMA_DISABLE</v>
      </c>
      <c r="T4" s="124" t="str">
        <f t="shared" si="1"/>
        <v>SUPPORT_GPIO_DISABLE</v>
      </c>
      <c r="U4" s="124" t="str">
        <f t="shared" si="1"/>
        <v>SUPPORT_PWM_DISABLE</v>
      </c>
      <c r="V4" s="124" t="str">
        <f t="shared" si="1"/>
        <v>SUPPORT_SDC_DISABLE</v>
      </c>
      <c r="W4" s="124" t="str">
        <f t="shared" si="1"/>
        <v>SUPPORT_TIMER_DISABLE</v>
      </c>
      <c r="X4" s="124" t="str">
        <f t="shared" si="1"/>
        <v>SUPPORT_USB_DISABLE</v>
      </c>
      <c r="Y4" s="124" t="str">
        <f t="shared" si="1"/>
        <v>SUPPORT_WDT_DISABLE</v>
      </c>
      <c r="Z4" s="124" t="str">
        <f t="shared" si="1"/>
        <v>SUPPORT_UART_CONSOLE_DISABLE</v>
      </c>
      <c r="AA4" s="124">
        <f t="shared" si="1"/>
        <v>0</v>
      </c>
      <c r="AB4" s="124">
        <f t="shared" si="1"/>
        <v>0</v>
      </c>
      <c r="AC4" s="124">
        <f t="shared" si="1"/>
        <v>0</v>
      </c>
      <c r="AD4" s="124">
        <f t="shared" si="1"/>
        <v>0</v>
      </c>
      <c r="AE4" s="124">
        <f t="shared" si="1"/>
        <v>0</v>
      </c>
      <c r="AF4" s="124">
        <f t="shared" si="1"/>
        <v>0</v>
      </c>
      <c r="AG4" s="124">
        <f t="shared" si="1"/>
        <v>0</v>
      </c>
      <c r="AH4" s="124">
        <f t="shared" si="1"/>
        <v>0</v>
      </c>
      <c r="AI4" s="124">
        <f t="shared" si="1"/>
        <v>0</v>
      </c>
      <c r="AJ4" s="124">
        <f t="shared" si="1"/>
        <v>0</v>
      </c>
      <c r="AK4" s="124">
        <f t="shared" si="1"/>
        <v>0</v>
      </c>
      <c r="AL4" s="124">
        <f t="shared" si="1"/>
        <v>0</v>
      </c>
      <c r="AM4" s="124">
        <f t="shared" si="1"/>
        <v>0</v>
      </c>
      <c r="AN4" s="124">
        <f t="shared" si="1"/>
        <v>0</v>
      </c>
      <c r="AO4" s="124">
        <f t="shared" si="1"/>
        <v>0</v>
      </c>
      <c r="AP4" s="124">
        <f t="shared" si="1"/>
        <v>0</v>
      </c>
      <c r="AQ4" s="124">
        <f t="shared" si="1"/>
        <v>0</v>
      </c>
      <c r="AR4" s="124">
        <f t="shared" si="1"/>
        <v>0</v>
      </c>
      <c r="AS4" s="124">
        <f t="shared" si="1"/>
        <v>0</v>
      </c>
      <c r="AT4" s="124">
        <f t="shared" si="1"/>
        <v>0</v>
      </c>
      <c r="AU4" s="124">
        <f t="shared" si="1"/>
        <v>0</v>
      </c>
      <c r="AV4" s="124">
        <f t="shared" si="1"/>
        <v>0</v>
      </c>
      <c r="AW4" s="124">
        <f t="shared" si="1"/>
        <v>0</v>
      </c>
      <c r="AX4" s="124">
        <f t="shared" si="1"/>
        <v>0</v>
      </c>
      <c r="AY4" s="124">
        <f t="shared" si="1"/>
        <v>0</v>
      </c>
      <c r="AZ4" s="124">
        <f t="shared" si="1"/>
        <v>0</v>
      </c>
      <c r="BA4" s="124">
        <f t="shared" si="1"/>
        <v>0</v>
      </c>
      <c r="BB4" s="124">
        <f t="shared" si="1"/>
        <v>0</v>
      </c>
      <c r="BC4" s="124">
        <f t="shared" si="1"/>
        <v>0</v>
      </c>
    </row>
    <row r="5" spans="3:109" hidden="1" x14ac:dyDescent="0.25">
      <c r="C5" s="122" t="s">
        <v>651</v>
      </c>
      <c r="D5" s="101" t="s">
        <v>655</v>
      </c>
      <c r="F5" s="101" t="s">
        <v>482</v>
      </c>
      <c r="G5" s="101" t="s">
        <v>489</v>
      </c>
      <c r="H5" s="101" t="s">
        <v>484</v>
      </c>
      <c r="I5" s="101" t="s">
        <v>535</v>
      </c>
      <c r="J5" s="101" t="s">
        <v>672</v>
      </c>
      <c r="K5" s="101" t="s">
        <v>660</v>
      </c>
      <c r="L5" s="101" t="s">
        <v>676</v>
      </c>
      <c r="M5" s="101" t="s">
        <v>512</v>
      </c>
      <c r="N5" s="101" t="s">
        <v>518</v>
      </c>
      <c r="O5" s="101" t="s">
        <v>508</v>
      </c>
      <c r="P5" s="101" t="s">
        <v>525</v>
      </c>
      <c r="Q5" s="101" t="s">
        <v>550</v>
      </c>
      <c r="R5" s="101" t="s">
        <v>552</v>
      </c>
      <c r="S5" s="101" t="s">
        <v>554</v>
      </c>
      <c r="T5" s="101" t="s">
        <v>556</v>
      </c>
      <c r="U5" s="101" t="s">
        <v>558</v>
      </c>
      <c r="V5" s="101" t="s">
        <v>560</v>
      </c>
      <c r="W5" s="101" t="s">
        <v>562</v>
      </c>
      <c r="X5" s="101" t="s">
        <v>564</v>
      </c>
      <c r="Y5" s="101" t="s">
        <v>566</v>
      </c>
      <c r="Z5" s="101" t="s">
        <v>658</v>
      </c>
    </row>
    <row r="6" spans="3:109" hidden="1" x14ac:dyDescent="0.25">
      <c r="C6" s="122" t="s">
        <v>652</v>
      </c>
      <c r="D6" s="101" t="s">
        <v>638</v>
      </c>
      <c r="F6" s="101" t="s">
        <v>483</v>
      </c>
      <c r="G6" s="101" t="s">
        <v>490</v>
      </c>
      <c r="H6" s="101" t="s">
        <v>485</v>
      </c>
      <c r="I6" s="101" t="s">
        <v>536</v>
      </c>
      <c r="J6" s="101" t="s">
        <v>673</v>
      </c>
      <c r="K6" s="101" t="s">
        <v>661</v>
      </c>
      <c r="L6" s="101" t="s">
        <v>677</v>
      </c>
      <c r="M6" s="101" t="s">
        <v>513</v>
      </c>
      <c r="N6" s="101" t="s">
        <v>519</v>
      </c>
      <c r="O6" s="101" t="s">
        <v>509</v>
      </c>
      <c r="P6" s="101" t="s">
        <v>526</v>
      </c>
      <c r="Q6" s="101" t="s">
        <v>551</v>
      </c>
      <c r="R6" s="101" t="s">
        <v>553</v>
      </c>
      <c r="S6" s="101" t="s">
        <v>555</v>
      </c>
      <c r="T6" s="101" t="s">
        <v>557</v>
      </c>
      <c r="U6" s="101" t="s">
        <v>559</v>
      </c>
      <c r="V6" s="101" t="s">
        <v>561</v>
      </c>
      <c r="W6" s="101" t="s">
        <v>563</v>
      </c>
      <c r="X6" s="101" t="s">
        <v>565</v>
      </c>
      <c r="Y6" s="101" t="s">
        <v>581</v>
      </c>
      <c r="Z6" s="101" t="s">
        <v>568</v>
      </c>
    </row>
    <row r="7" spans="3:109" hidden="1" x14ac:dyDescent="0.25">
      <c r="C7" s="122" t="s">
        <v>653</v>
      </c>
      <c r="D7" s="101" t="s">
        <v>639</v>
      </c>
      <c r="F7" s="101" t="s">
        <v>643</v>
      </c>
      <c r="G7" s="101" t="s">
        <v>644</v>
      </c>
      <c r="H7" s="101" t="s">
        <v>486</v>
      </c>
      <c r="I7" s="101" t="s">
        <v>537</v>
      </c>
      <c r="J7" s="101" t="s">
        <v>674</v>
      </c>
      <c r="K7" s="101" t="s">
        <v>662</v>
      </c>
      <c r="L7" s="101" t="s">
        <v>678</v>
      </c>
      <c r="M7" s="101" t="s">
        <v>514</v>
      </c>
      <c r="N7" s="101" t="s">
        <v>520</v>
      </c>
      <c r="O7" s="101" t="s">
        <v>510</v>
      </c>
      <c r="P7" s="101" t="s">
        <v>527</v>
      </c>
    </row>
    <row r="8" spans="3:109" hidden="1" x14ac:dyDescent="0.25">
      <c r="D8" s="101" t="s">
        <v>640</v>
      </c>
      <c r="I8" s="101" t="s">
        <v>538</v>
      </c>
      <c r="J8" s="101" t="s">
        <v>675</v>
      </c>
      <c r="K8" s="101" t="s">
        <v>663</v>
      </c>
      <c r="L8" s="101" t="s">
        <v>679</v>
      </c>
      <c r="M8" s="101" t="s">
        <v>515</v>
      </c>
      <c r="N8" s="101" t="s">
        <v>521</v>
      </c>
      <c r="P8" s="101" t="s">
        <v>528</v>
      </c>
    </row>
    <row r="9" spans="3:109" hidden="1" x14ac:dyDescent="0.25">
      <c r="D9" s="101" t="s">
        <v>641</v>
      </c>
      <c r="M9" s="101" t="s">
        <v>516</v>
      </c>
      <c r="N9" s="101" t="s">
        <v>522</v>
      </c>
      <c r="P9" s="101" t="s">
        <v>541</v>
      </c>
    </row>
    <row r="10" spans="3:109" hidden="1" x14ac:dyDescent="0.25">
      <c r="M10" s="101" t="s">
        <v>517</v>
      </c>
      <c r="N10" s="101" t="s">
        <v>523</v>
      </c>
    </row>
    <row r="11" spans="3:109" hidden="1" x14ac:dyDescent="0.25">
      <c r="N11" s="101" t="s">
        <v>524</v>
      </c>
    </row>
    <row r="12" spans="3:109" hidden="1" x14ac:dyDescent="0.25"/>
    <row r="13" spans="3:109" hidden="1" x14ac:dyDescent="0.25"/>
    <row r="14" spans="3:109" hidden="1" x14ac:dyDescent="0.25"/>
    <row r="15" spans="3:109" hidden="1" x14ac:dyDescent="0.25"/>
    <row r="16" spans="3:109" hidden="1" x14ac:dyDescent="0.25"/>
    <row r="17" spans="2:8" hidden="1" x14ac:dyDescent="0.25">
      <c r="C17" s="122" t="s">
        <v>656</v>
      </c>
    </row>
    <row r="18" spans="2:8" hidden="1" x14ac:dyDescent="0.25"/>
    <row r="19" spans="2:8" hidden="1" x14ac:dyDescent="0.25"/>
    <row r="25" spans="2:8" x14ac:dyDescent="0.25">
      <c r="B25" s="122" t="s">
        <v>649</v>
      </c>
      <c r="C25" s="101" t="s">
        <v>688</v>
      </c>
    </row>
    <row r="26" spans="2:8" x14ac:dyDescent="0.25">
      <c r="B26" s="122" t="s">
        <v>473</v>
      </c>
      <c r="C26" s="101"/>
    </row>
    <row r="27" spans="2:8" x14ac:dyDescent="0.25">
      <c r="B27" s="122" t="s">
        <v>474</v>
      </c>
      <c r="C27" s="101"/>
    </row>
    <row r="28" spans="2:8" x14ac:dyDescent="0.25">
      <c r="B28" s="122" t="s">
        <v>642</v>
      </c>
      <c r="C28" s="101" t="str">
        <f>MID(INDEX(D5:D13, D3, 0), IF(ISERR(FIND("_", BoardResult, 1)),ISERR(FIND("_", BoardResult, 1)),7),100)</f>
        <v>sn720ev_9x9</v>
      </c>
    </row>
    <row r="29" spans="2:8" x14ac:dyDescent="0.25">
      <c r="B29" s="122" t="s">
        <v>475</v>
      </c>
      <c r="C29" s="138">
        <f>COUNTIF(C34:C103, "*_*")</f>
        <v>21</v>
      </c>
      <c r="D29" s="139">
        <f>MAX(D31:D32)</f>
        <v>1</v>
      </c>
      <c r="G29" s="126"/>
      <c r="H29" s="126"/>
    </row>
    <row r="30" spans="2:8" ht="5.25" customHeight="1" x14ac:dyDescent="0.25">
      <c r="G30" s="126"/>
      <c r="H30" s="126"/>
    </row>
    <row r="31" spans="2:8" hidden="1" x14ac:dyDescent="0.25">
      <c r="E31" s="139">
        <f>COUNTIF(PeripheralsRequirementList_Range, "*COMM_I2C")</f>
        <v>0</v>
      </c>
      <c r="F31" s="139">
        <f>COUNTIF(PeripheralsRequirementList_Range, "*COMM_SPI")</f>
        <v>0</v>
      </c>
      <c r="G31" s="139"/>
      <c r="H31" s="126"/>
    </row>
    <row r="32" spans="2:8" x14ac:dyDescent="0.25">
      <c r="C32" s="122" t="s">
        <v>666</v>
      </c>
      <c r="D32" s="140">
        <v>1</v>
      </c>
      <c r="E32" s="139">
        <f>COUNTIF(PeripheralsRequirementList_Range, "*_I2C")</f>
        <v>1</v>
      </c>
      <c r="F32" s="139">
        <f>COUNTIF(PeripheralsRequirementList_Range, "*_SPI")</f>
        <v>0</v>
      </c>
      <c r="G32" s="139">
        <f>COUNTIF(PeripheralsRequirementList_Range, "*_UART")-1</f>
        <v>0</v>
      </c>
      <c r="H32" s="139">
        <f>COUNTIF(PeripheralsRequirementList_Range, "*_I2S")</f>
        <v>0</v>
      </c>
    </row>
    <row r="33" spans="1:14" ht="16.5" thickBot="1" x14ac:dyDescent="0.3">
      <c r="G33" s="126"/>
      <c r="H33" s="126"/>
    </row>
    <row r="34" spans="1:14" x14ac:dyDescent="0.25">
      <c r="A34" s="123"/>
      <c r="C34" s="127" t="s">
        <v>491</v>
      </c>
      <c r="D34" s="141" t="s">
        <v>482</v>
      </c>
      <c r="E34" s="134"/>
      <c r="F34" s="128"/>
      <c r="G34" s="134"/>
      <c r="H34" s="128"/>
      <c r="I34" s="128"/>
      <c r="J34" s="128"/>
      <c r="K34" s="128"/>
      <c r="L34" s="128"/>
      <c r="M34" s="128"/>
      <c r="N34" s="128"/>
    </row>
    <row r="35" spans="1:14" x14ac:dyDescent="0.25">
      <c r="C35" s="129" t="s">
        <v>492</v>
      </c>
      <c r="D35" s="132" t="s">
        <v>489</v>
      </c>
      <c r="E35" s="134"/>
      <c r="F35" s="128"/>
      <c r="G35" s="134"/>
      <c r="H35" s="128"/>
      <c r="I35" s="128"/>
      <c r="J35" s="128"/>
      <c r="K35" s="128"/>
      <c r="L35" s="128"/>
      <c r="M35" s="128"/>
      <c r="N35" s="128"/>
    </row>
    <row r="36" spans="1:14" x14ac:dyDescent="0.25">
      <c r="C36" s="129" t="s">
        <v>493</v>
      </c>
      <c r="D36" s="132" t="s">
        <v>484</v>
      </c>
      <c r="E36" s="134"/>
      <c r="F36" s="128"/>
      <c r="G36" s="134"/>
      <c r="H36" s="128"/>
      <c r="I36" s="128"/>
      <c r="J36" s="128"/>
      <c r="K36" s="128"/>
      <c r="L36" s="128"/>
      <c r="M36" s="128"/>
      <c r="N36" s="128"/>
    </row>
    <row r="37" spans="1:14" x14ac:dyDescent="0.25">
      <c r="C37" s="129" t="s">
        <v>680</v>
      </c>
      <c r="D37" s="132" t="s">
        <v>535</v>
      </c>
      <c r="E37" s="134"/>
      <c r="F37" s="128"/>
      <c r="G37" s="134"/>
      <c r="H37" s="128"/>
      <c r="I37" s="134"/>
      <c r="J37" s="128"/>
      <c r="K37" s="128"/>
      <c r="L37" s="128"/>
      <c r="M37" s="128"/>
      <c r="N37" s="128"/>
    </row>
    <row r="38" spans="1:14" x14ac:dyDescent="0.25">
      <c r="C38" s="129" t="s">
        <v>681</v>
      </c>
      <c r="D38" s="132" t="s">
        <v>672</v>
      </c>
      <c r="E38" s="134"/>
      <c r="F38" s="128"/>
      <c r="G38" s="134"/>
      <c r="H38" s="128"/>
      <c r="I38" s="134"/>
      <c r="J38" s="128"/>
      <c r="K38" s="128"/>
      <c r="L38" s="128"/>
      <c r="M38" s="128"/>
      <c r="N38" s="128"/>
    </row>
    <row r="39" spans="1:14" x14ac:dyDescent="0.25">
      <c r="C39" s="129" t="s">
        <v>682</v>
      </c>
      <c r="D39" s="132" t="s">
        <v>660</v>
      </c>
      <c r="E39" s="134"/>
      <c r="F39" s="128"/>
      <c r="G39" s="134"/>
      <c r="H39" s="128"/>
      <c r="I39" s="134"/>
      <c r="J39" s="128"/>
      <c r="K39" s="128"/>
      <c r="L39" s="128"/>
      <c r="M39" s="128"/>
      <c r="N39" s="128"/>
    </row>
    <row r="40" spans="1:14" x14ac:dyDescent="0.25">
      <c r="C40" s="129" t="s">
        <v>683</v>
      </c>
      <c r="D40" s="132" t="s">
        <v>676</v>
      </c>
      <c r="E40" s="134"/>
      <c r="F40" s="128"/>
      <c r="G40" s="134"/>
      <c r="H40" s="128"/>
      <c r="I40" s="134"/>
      <c r="J40" s="128"/>
      <c r="K40" s="128"/>
      <c r="L40" s="128"/>
      <c r="M40" s="128"/>
      <c r="N40" s="128"/>
    </row>
    <row r="41" spans="1:14" x14ac:dyDescent="0.25">
      <c r="C41" s="130" t="s">
        <v>529</v>
      </c>
      <c r="D41" s="132" t="s">
        <v>512</v>
      </c>
      <c r="E41" s="134"/>
      <c r="F41" s="128"/>
      <c r="G41" s="134"/>
      <c r="H41" s="128"/>
      <c r="I41" s="128"/>
      <c r="J41" s="128"/>
      <c r="K41" s="128"/>
      <c r="L41" s="128"/>
      <c r="M41" s="128"/>
      <c r="N41" s="128"/>
    </row>
    <row r="42" spans="1:14" x14ac:dyDescent="0.25">
      <c r="C42" s="130" t="s">
        <v>530</v>
      </c>
      <c r="D42" s="132" t="s">
        <v>518</v>
      </c>
      <c r="E42" s="134"/>
      <c r="F42" s="128"/>
      <c r="G42" s="128"/>
      <c r="H42" s="128"/>
      <c r="I42" s="128"/>
      <c r="J42" s="128"/>
      <c r="K42" s="128"/>
      <c r="L42" s="128"/>
      <c r="M42" s="128"/>
      <c r="N42" s="128"/>
    </row>
    <row r="43" spans="1:14" x14ac:dyDescent="0.25">
      <c r="C43" s="130" t="s">
        <v>511</v>
      </c>
      <c r="D43" s="132" t="s">
        <v>508</v>
      </c>
      <c r="E43" s="134"/>
      <c r="F43" s="128"/>
      <c r="G43" s="128"/>
      <c r="H43" s="128"/>
      <c r="I43" s="128"/>
      <c r="J43" s="128"/>
      <c r="K43" s="128"/>
      <c r="L43" s="128"/>
      <c r="M43" s="128"/>
      <c r="N43" s="128"/>
    </row>
    <row r="44" spans="1:14" x14ac:dyDescent="0.25">
      <c r="C44" s="130" t="s">
        <v>531</v>
      </c>
      <c r="D44" s="132" t="s">
        <v>525</v>
      </c>
      <c r="E44" s="134"/>
      <c r="F44" s="128"/>
      <c r="G44" s="134"/>
      <c r="H44" s="128"/>
      <c r="I44" s="134"/>
      <c r="J44" s="128"/>
      <c r="K44" s="128"/>
      <c r="L44" s="128"/>
      <c r="M44" s="128"/>
      <c r="N44" s="128"/>
    </row>
    <row r="45" spans="1:14" x14ac:dyDescent="0.25">
      <c r="B45" s="131"/>
      <c r="C45" s="129" t="s">
        <v>542</v>
      </c>
      <c r="D45" s="132" t="s">
        <v>550</v>
      </c>
      <c r="E45" s="134"/>
      <c r="F45" s="128"/>
      <c r="G45" s="134"/>
      <c r="H45" s="128"/>
      <c r="I45" s="134"/>
      <c r="J45" s="128"/>
      <c r="K45" s="128"/>
      <c r="L45" s="128"/>
      <c r="M45" s="128"/>
      <c r="N45" s="128"/>
    </row>
    <row r="46" spans="1:14" x14ac:dyDescent="0.25">
      <c r="C46" s="129" t="s">
        <v>543</v>
      </c>
      <c r="D46" s="132" t="s">
        <v>552</v>
      </c>
      <c r="E46" s="134"/>
      <c r="F46" s="128"/>
      <c r="G46" s="134"/>
      <c r="H46" s="128"/>
      <c r="I46" s="134"/>
      <c r="J46" s="128"/>
      <c r="K46" s="128"/>
      <c r="L46" s="128"/>
      <c r="M46" s="128"/>
      <c r="N46" s="128"/>
    </row>
    <row r="47" spans="1:14" x14ac:dyDescent="0.25">
      <c r="C47" s="129" t="s">
        <v>544</v>
      </c>
      <c r="D47" s="132" t="s">
        <v>554</v>
      </c>
      <c r="E47" s="134"/>
      <c r="F47" s="128"/>
      <c r="G47" s="134"/>
      <c r="H47" s="128"/>
      <c r="I47" s="134"/>
      <c r="J47" s="128"/>
      <c r="K47" s="128"/>
      <c r="L47" s="128"/>
      <c r="M47" s="128"/>
      <c r="N47" s="128"/>
    </row>
    <row r="48" spans="1:14" x14ac:dyDescent="0.25">
      <c r="C48" s="129" t="s">
        <v>545</v>
      </c>
      <c r="D48" s="132" t="s">
        <v>556</v>
      </c>
      <c r="E48" s="134"/>
      <c r="F48" s="128"/>
      <c r="G48" s="134"/>
      <c r="H48" s="128"/>
      <c r="I48" s="134"/>
      <c r="J48" s="128"/>
      <c r="K48" s="128"/>
      <c r="L48" s="128"/>
      <c r="M48" s="128"/>
      <c r="N48" s="128"/>
    </row>
    <row r="49" spans="3:14" x14ac:dyDescent="0.25">
      <c r="C49" s="129" t="s">
        <v>546</v>
      </c>
      <c r="D49" s="132" t="s">
        <v>558</v>
      </c>
      <c r="E49" s="134"/>
      <c r="F49" s="128"/>
      <c r="G49" s="134"/>
      <c r="H49" s="128"/>
      <c r="I49" s="128"/>
      <c r="J49" s="128"/>
      <c r="K49" s="128"/>
      <c r="L49" s="128"/>
      <c r="M49" s="128"/>
      <c r="N49" s="128"/>
    </row>
    <row r="50" spans="3:14" x14ac:dyDescent="0.25">
      <c r="C50" s="129" t="s">
        <v>547</v>
      </c>
      <c r="D50" s="132" t="s">
        <v>560</v>
      </c>
      <c r="E50" s="134"/>
      <c r="F50" s="134"/>
      <c r="G50" s="128"/>
      <c r="H50" s="128"/>
      <c r="I50" s="128"/>
      <c r="J50" s="128"/>
      <c r="K50" s="128"/>
      <c r="L50" s="128"/>
      <c r="M50" s="128"/>
      <c r="N50" s="128"/>
    </row>
    <row r="51" spans="3:14" x14ac:dyDescent="0.25">
      <c r="C51" s="129" t="s">
        <v>548</v>
      </c>
      <c r="D51" s="132" t="s">
        <v>562</v>
      </c>
      <c r="E51" s="134"/>
      <c r="F51" s="134"/>
      <c r="G51" s="128"/>
      <c r="H51" s="128"/>
      <c r="I51" s="128"/>
      <c r="J51" s="128"/>
      <c r="K51" s="128"/>
      <c r="L51" s="128"/>
      <c r="M51" s="128"/>
      <c r="N51" s="128"/>
    </row>
    <row r="52" spans="3:14" x14ac:dyDescent="0.25">
      <c r="C52" s="129" t="s">
        <v>549</v>
      </c>
      <c r="D52" s="132" t="s">
        <v>564</v>
      </c>
      <c r="E52" s="134"/>
      <c r="F52" s="134"/>
      <c r="G52" s="128"/>
      <c r="H52" s="128"/>
      <c r="I52" s="128"/>
      <c r="J52" s="128"/>
      <c r="K52" s="128"/>
      <c r="L52" s="128"/>
    </row>
    <row r="53" spans="3:14" x14ac:dyDescent="0.25">
      <c r="C53" s="129" t="s">
        <v>567</v>
      </c>
      <c r="D53" s="132" t="s">
        <v>566</v>
      </c>
      <c r="E53" s="134"/>
      <c r="F53" s="134"/>
      <c r="G53" s="128"/>
      <c r="H53" s="128"/>
      <c r="I53" s="128"/>
      <c r="J53" s="128"/>
      <c r="K53" s="128"/>
      <c r="L53" s="128"/>
    </row>
    <row r="54" spans="3:14" ht="16.5" thickBot="1" x14ac:dyDescent="0.3">
      <c r="C54" s="133" t="s">
        <v>659</v>
      </c>
      <c r="D54" s="142" t="s">
        <v>658</v>
      </c>
      <c r="E54" s="134"/>
      <c r="F54" s="134"/>
      <c r="G54" s="128"/>
      <c r="H54" s="128"/>
      <c r="I54" s="128"/>
      <c r="J54" s="128"/>
      <c r="K54" s="128"/>
      <c r="L54" s="128"/>
    </row>
    <row r="55" spans="3:14" x14ac:dyDescent="0.25">
      <c r="C55" s="134"/>
      <c r="D55" s="128"/>
      <c r="E55" s="134"/>
      <c r="F55" s="134"/>
      <c r="G55" s="128"/>
      <c r="H55" s="128"/>
      <c r="I55" s="128"/>
      <c r="J55" s="128"/>
      <c r="K55" s="128"/>
      <c r="L55" s="128"/>
    </row>
    <row r="56" spans="3:14" x14ac:dyDescent="0.25">
      <c r="C56" s="134"/>
      <c r="D56" s="128"/>
      <c r="E56" s="134"/>
      <c r="F56" s="134"/>
      <c r="G56" s="128"/>
      <c r="H56" s="128"/>
      <c r="I56" s="128"/>
      <c r="J56" s="128"/>
      <c r="K56" s="128"/>
      <c r="L56" s="128"/>
    </row>
    <row r="57" spans="3:14" x14ac:dyDescent="0.25">
      <c r="C57" s="134"/>
      <c r="D57" s="128"/>
      <c r="E57" s="134"/>
      <c r="F57" s="134"/>
      <c r="G57" s="128"/>
      <c r="H57" s="128"/>
      <c r="I57" s="128"/>
      <c r="J57" s="128"/>
      <c r="K57" s="128"/>
      <c r="L57" s="128"/>
    </row>
    <row r="58" spans="3:14" x14ac:dyDescent="0.25">
      <c r="C58" s="134"/>
      <c r="D58" s="128"/>
      <c r="E58" s="134"/>
      <c r="F58" s="134"/>
      <c r="G58" s="128"/>
      <c r="H58" s="128"/>
      <c r="I58" s="128"/>
      <c r="J58" s="128"/>
      <c r="K58" s="128"/>
      <c r="L58" s="128"/>
    </row>
    <row r="59" spans="3:14" x14ac:dyDescent="0.25">
      <c r="C59" s="134"/>
      <c r="D59" s="128"/>
      <c r="E59" s="134"/>
      <c r="F59" s="134"/>
      <c r="G59" s="128"/>
      <c r="H59" s="128"/>
      <c r="I59" s="128"/>
      <c r="J59" s="128"/>
      <c r="K59" s="128"/>
      <c r="L59" s="128"/>
    </row>
    <row r="60" spans="3:14" x14ac:dyDescent="0.25">
      <c r="C60" s="134"/>
      <c r="D60" s="128"/>
      <c r="E60" s="134"/>
      <c r="F60" s="134"/>
      <c r="G60" s="128"/>
      <c r="H60" s="128"/>
      <c r="I60" s="128"/>
      <c r="J60" s="128"/>
    </row>
    <row r="61" spans="3:14" x14ac:dyDescent="0.25">
      <c r="C61" s="134"/>
      <c r="D61" s="128"/>
      <c r="E61" s="134"/>
      <c r="F61" s="134"/>
      <c r="G61" s="128"/>
      <c r="H61" s="128"/>
      <c r="I61" s="128"/>
      <c r="J61" s="128"/>
    </row>
    <row r="62" spans="3:14" x14ac:dyDescent="0.25">
      <c r="C62" s="134"/>
      <c r="D62" s="128"/>
      <c r="E62" s="134"/>
      <c r="F62" s="134"/>
      <c r="G62" s="128"/>
      <c r="H62" s="128"/>
      <c r="I62" s="128"/>
      <c r="J62" s="128"/>
    </row>
    <row r="63" spans="3:14" x14ac:dyDescent="0.25">
      <c r="C63" s="134"/>
      <c r="D63" s="128"/>
      <c r="E63" s="134"/>
      <c r="F63" s="134"/>
      <c r="G63" s="128"/>
      <c r="H63" s="128"/>
    </row>
    <row r="64" spans="3:14" x14ac:dyDescent="0.25">
      <c r="C64" s="134"/>
      <c r="D64" s="128"/>
      <c r="E64" s="134"/>
      <c r="F64" s="134"/>
      <c r="G64" s="128"/>
    </row>
    <row r="65" spans="3:7" x14ac:dyDescent="0.25">
      <c r="C65" s="134"/>
      <c r="D65" s="134"/>
      <c r="E65" s="134"/>
      <c r="F65" s="134"/>
      <c r="G65" s="128"/>
    </row>
    <row r="66" spans="3:7" x14ac:dyDescent="0.25">
      <c r="C66" s="134"/>
      <c r="D66" s="134"/>
      <c r="E66" s="134"/>
      <c r="F66" s="134"/>
      <c r="G66" s="128"/>
    </row>
    <row r="67" spans="3:7" x14ac:dyDescent="0.25">
      <c r="C67" s="134"/>
      <c r="D67" s="134"/>
      <c r="E67" s="134"/>
      <c r="F67" s="134"/>
      <c r="G67" s="128"/>
    </row>
    <row r="68" spans="3:7" x14ac:dyDescent="0.25">
      <c r="C68" s="134"/>
      <c r="D68" s="134"/>
      <c r="E68" s="134"/>
      <c r="F68" s="134"/>
    </row>
    <row r="69" spans="3:7" x14ac:dyDescent="0.25">
      <c r="C69" s="134"/>
      <c r="D69" s="134"/>
      <c r="E69" s="134"/>
      <c r="F69" s="134"/>
    </row>
    <row r="70" spans="3:7" x14ac:dyDescent="0.25">
      <c r="C70" s="134"/>
      <c r="D70" s="128"/>
    </row>
    <row r="71" spans="3:7" x14ac:dyDescent="0.25">
      <c r="C71" s="134"/>
      <c r="D71" s="128"/>
    </row>
    <row r="72" spans="3:7" x14ac:dyDescent="0.25">
      <c r="C72" s="134"/>
      <c r="D72" s="128"/>
    </row>
    <row r="73" spans="3:7" x14ac:dyDescent="0.25">
      <c r="C73" s="134"/>
      <c r="D73" s="128"/>
    </row>
    <row r="74" spans="3:7" x14ac:dyDescent="0.25">
      <c r="C74" s="134"/>
      <c r="D74" s="128"/>
    </row>
    <row r="75" spans="3:7" x14ac:dyDescent="0.25">
      <c r="C75" s="134"/>
      <c r="D75" s="128"/>
    </row>
    <row r="76" spans="3:7" x14ac:dyDescent="0.25">
      <c r="C76" s="134"/>
      <c r="D76" s="128"/>
    </row>
    <row r="77" spans="3:7" x14ac:dyDescent="0.25">
      <c r="C77" s="134"/>
      <c r="D77" s="128"/>
    </row>
    <row r="78" spans="3:7" x14ac:dyDescent="0.25">
      <c r="D78" s="128"/>
    </row>
    <row r="79" spans="3:7" x14ac:dyDescent="0.25">
      <c r="D79" s="128"/>
    </row>
    <row r="80" spans="3:7" x14ac:dyDescent="0.25">
      <c r="D80" s="128"/>
    </row>
    <row r="81" spans="4:4" x14ac:dyDescent="0.25">
      <c r="D81" s="128"/>
    </row>
    <row r="82" spans="4:4" x14ac:dyDescent="0.25">
      <c r="D82" s="128"/>
    </row>
    <row r="83" spans="4:4" x14ac:dyDescent="0.25">
      <c r="D83" s="128"/>
    </row>
    <row r="84" spans="4:4" x14ac:dyDescent="0.25">
      <c r="D84" s="128"/>
    </row>
    <row r="85" spans="4:4" x14ac:dyDescent="0.25">
      <c r="D85" s="128"/>
    </row>
    <row r="86" spans="4:4" x14ac:dyDescent="0.25">
      <c r="D86" s="128"/>
    </row>
    <row r="87" spans="4:4" x14ac:dyDescent="0.25">
      <c r="D87" s="128"/>
    </row>
    <row r="88" spans="4:4" x14ac:dyDescent="0.25">
      <c r="D88" s="128"/>
    </row>
    <row r="89" spans="4:4" x14ac:dyDescent="0.25">
      <c r="D89" s="128"/>
    </row>
    <row r="90" spans="4:4" x14ac:dyDescent="0.25">
      <c r="D90" s="128"/>
    </row>
    <row r="91" spans="4:4" x14ac:dyDescent="0.25">
      <c r="D91" s="128"/>
    </row>
    <row r="92" spans="4:4" x14ac:dyDescent="0.25">
      <c r="D92" s="128"/>
    </row>
    <row r="93" spans="4:4" x14ac:dyDescent="0.25">
      <c r="D93" s="128"/>
    </row>
    <row r="94" spans="4:4" x14ac:dyDescent="0.25">
      <c r="D94" s="128"/>
    </row>
    <row r="95" spans="4:4" x14ac:dyDescent="0.25">
      <c r="D95" s="128"/>
    </row>
    <row r="96" spans="4:4" x14ac:dyDescent="0.25">
      <c r="D96" s="128"/>
    </row>
    <row r="97" spans="2:7" x14ac:dyDescent="0.25">
      <c r="D97" s="128"/>
    </row>
    <row r="98" spans="2:7" x14ac:dyDescent="0.25">
      <c r="D98" s="128"/>
    </row>
    <row r="99" spans="2:7" x14ac:dyDescent="0.25">
      <c r="D99" s="128"/>
    </row>
    <row r="100" spans="2:7" hidden="1" x14ac:dyDescent="0.25">
      <c r="D100" s="128"/>
    </row>
    <row r="101" spans="2:7" hidden="1" x14ac:dyDescent="0.25">
      <c r="D101" s="128"/>
    </row>
    <row r="102" spans="2:7" hidden="1" x14ac:dyDescent="0.25">
      <c r="D102" s="128"/>
    </row>
    <row r="103" spans="2:7" hidden="1" x14ac:dyDescent="0.25">
      <c r="D103" s="128"/>
    </row>
    <row r="104" spans="2:7" hidden="1" x14ac:dyDescent="0.25">
      <c r="D104" s="128"/>
    </row>
    <row r="105" spans="2:7" hidden="1" x14ac:dyDescent="0.25">
      <c r="D105" s="128"/>
    </row>
    <row r="106" spans="2:7" hidden="1" x14ac:dyDescent="0.25">
      <c r="D106" s="128"/>
    </row>
    <row r="107" spans="2:7" hidden="1" x14ac:dyDescent="0.25">
      <c r="D107" s="128"/>
    </row>
    <row r="108" spans="2:7" hidden="1" x14ac:dyDescent="0.25">
      <c r="D108" s="128"/>
    </row>
    <row r="109" spans="2:7" hidden="1" x14ac:dyDescent="0.25">
      <c r="B109" s="101" t="s">
        <v>476</v>
      </c>
      <c r="C109" s="122" t="s">
        <v>657</v>
      </c>
      <c r="D109" s="128"/>
    </row>
    <row r="110" spans="2:7" hidden="1" x14ac:dyDescent="0.25">
      <c r="B110" s="101" t="s">
        <v>476</v>
      </c>
      <c r="C110" s="122" t="s">
        <v>321</v>
      </c>
      <c r="D110" s="128">
        <v>1</v>
      </c>
    </row>
    <row r="111" spans="2:7" hidden="1" x14ac:dyDescent="0.25">
      <c r="B111" s="101" t="s">
        <v>476</v>
      </c>
      <c r="C111" s="122" t="s">
        <v>323</v>
      </c>
      <c r="D111" s="128">
        <v>0</v>
      </c>
    </row>
    <row r="112" spans="2:7" hidden="1" x14ac:dyDescent="0.25">
      <c r="B112" s="101" t="s">
        <v>476</v>
      </c>
      <c r="C112" s="122" t="s">
        <v>482</v>
      </c>
      <c r="D112" s="128">
        <v>0</v>
      </c>
      <c r="G112" s="101" t="s">
        <v>491</v>
      </c>
    </row>
    <row r="113" spans="2:7" hidden="1" x14ac:dyDescent="0.25">
      <c r="B113" s="101" t="s">
        <v>476</v>
      </c>
      <c r="C113" s="122" t="s">
        <v>483</v>
      </c>
      <c r="D113" s="128">
        <v>1</v>
      </c>
      <c r="G113" s="1" t="s">
        <v>492</v>
      </c>
    </row>
    <row r="114" spans="2:7" hidden="1" x14ac:dyDescent="0.25">
      <c r="B114" s="101" t="s">
        <v>476</v>
      </c>
      <c r="C114" s="122" t="s">
        <v>643</v>
      </c>
      <c r="D114" s="128">
        <v>2</v>
      </c>
      <c r="G114" s="1" t="s">
        <v>493</v>
      </c>
    </row>
    <row r="115" spans="2:7" hidden="1" x14ac:dyDescent="0.25">
      <c r="B115" s="101" t="s">
        <v>476</v>
      </c>
      <c r="C115" s="122" t="s">
        <v>489</v>
      </c>
      <c r="D115" s="128">
        <v>0</v>
      </c>
      <c r="G115" s="1" t="s">
        <v>539</v>
      </c>
    </row>
    <row r="116" spans="2:7" hidden="1" x14ac:dyDescent="0.25">
      <c r="B116" s="101" t="s">
        <v>476</v>
      </c>
      <c r="C116" s="122" t="s">
        <v>490</v>
      </c>
      <c r="D116" s="128">
        <v>1</v>
      </c>
      <c r="G116" s="1" t="s">
        <v>665</v>
      </c>
    </row>
    <row r="117" spans="2:7" hidden="1" x14ac:dyDescent="0.25">
      <c r="B117" s="101" t="s">
        <v>476</v>
      </c>
      <c r="C117" s="122" t="s">
        <v>644</v>
      </c>
      <c r="D117" s="128">
        <v>2</v>
      </c>
      <c r="G117" s="1" t="s">
        <v>664</v>
      </c>
    </row>
    <row r="118" spans="2:7" hidden="1" x14ac:dyDescent="0.25">
      <c r="B118" s="101" t="s">
        <v>476</v>
      </c>
      <c r="C118" s="122" t="s">
        <v>484</v>
      </c>
      <c r="D118" s="128">
        <v>0</v>
      </c>
      <c r="G118" s="1" t="s">
        <v>668</v>
      </c>
    </row>
    <row r="119" spans="2:7" hidden="1" x14ac:dyDescent="0.25">
      <c r="B119" s="101" t="s">
        <v>476</v>
      </c>
      <c r="C119" s="122" t="s">
        <v>485</v>
      </c>
      <c r="D119" s="128">
        <v>1</v>
      </c>
      <c r="G119" s="1" t="s">
        <v>529</v>
      </c>
    </row>
    <row r="120" spans="2:7" hidden="1" x14ac:dyDescent="0.25">
      <c r="B120" s="101" t="s">
        <v>476</v>
      </c>
      <c r="C120" s="122" t="s">
        <v>486</v>
      </c>
      <c r="D120" s="128">
        <v>2</v>
      </c>
      <c r="G120" s="1" t="s">
        <v>530</v>
      </c>
    </row>
    <row r="121" spans="2:7" hidden="1" x14ac:dyDescent="0.25">
      <c r="B121" s="101" t="s">
        <v>476</v>
      </c>
      <c r="C121" s="122" t="s">
        <v>535</v>
      </c>
      <c r="D121" s="128">
        <v>0</v>
      </c>
      <c r="G121" s="1" t="s">
        <v>511</v>
      </c>
    </row>
    <row r="122" spans="2:7" hidden="1" x14ac:dyDescent="0.25">
      <c r="B122" s="101" t="s">
        <v>476</v>
      </c>
      <c r="C122" s="122" t="s">
        <v>536</v>
      </c>
      <c r="D122" s="128">
        <v>1</v>
      </c>
      <c r="G122" s="1" t="s">
        <v>531</v>
      </c>
    </row>
    <row r="123" spans="2:7" hidden="1" x14ac:dyDescent="0.25">
      <c r="B123" s="101" t="s">
        <v>476</v>
      </c>
      <c r="C123" s="122" t="s">
        <v>537</v>
      </c>
      <c r="D123" s="128">
        <v>2</v>
      </c>
      <c r="G123" s="1" t="s">
        <v>542</v>
      </c>
    </row>
    <row r="124" spans="2:7" hidden="1" x14ac:dyDescent="0.25">
      <c r="B124" s="101" t="s">
        <v>476</v>
      </c>
      <c r="C124" s="122" t="s">
        <v>538</v>
      </c>
      <c r="D124" s="128">
        <v>3</v>
      </c>
      <c r="G124" s="1" t="s">
        <v>543</v>
      </c>
    </row>
    <row r="125" spans="2:7" hidden="1" x14ac:dyDescent="0.25">
      <c r="B125" s="101" t="s">
        <v>476</v>
      </c>
      <c r="C125" s="122" t="s">
        <v>672</v>
      </c>
      <c r="D125" s="128">
        <v>0</v>
      </c>
      <c r="G125" s="1" t="s">
        <v>544</v>
      </c>
    </row>
    <row r="126" spans="2:7" hidden="1" x14ac:dyDescent="0.25">
      <c r="B126" s="101" t="s">
        <v>476</v>
      </c>
      <c r="C126" s="122" t="s">
        <v>673</v>
      </c>
      <c r="D126" s="128">
        <v>1</v>
      </c>
      <c r="G126" s="1" t="s">
        <v>545</v>
      </c>
    </row>
    <row r="127" spans="2:7" hidden="1" x14ac:dyDescent="0.25">
      <c r="B127" s="101" t="s">
        <v>476</v>
      </c>
      <c r="C127" s="122" t="s">
        <v>674</v>
      </c>
      <c r="D127" s="128">
        <v>2</v>
      </c>
      <c r="G127" s="1" t="s">
        <v>546</v>
      </c>
    </row>
    <row r="128" spans="2:7" hidden="1" x14ac:dyDescent="0.25">
      <c r="B128" s="101" t="s">
        <v>476</v>
      </c>
      <c r="C128" s="122" t="s">
        <v>675</v>
      </c>
      <c r="D128" s="128">
        <v>3</v>
      </c>
      <c r="G128" s="1" t="s">
        <v>547</v>
      </c>
    </row>
    <row r="129" spans="2:7" hidden="1" x14ac:dyDescent="0.25">
      <c r="B129" s="101" t="s">
        <v>476</v>
      </c>
      <c r="C129" s="122" t="s">
        <v>660</v>
      </c>
      <c r="D129" s="128">
        <v>0</v>
      </c>
      <c r="G129" s="1" t="s">
        <v>548</v>
      </c>
    </row>
    <row r="130" spans="2:7" hidden="1" x14ac:dyDescent="0.25">
      <c r="B130" s="101" t="s">
        <v>476</v>
      </c>
      <c r="C130" s="122" t="s">
        <v>661</v>
      </c>
      <c r="D130" s="128">
        <v>1</v>
      </c>
      <c r="G130" s="1" t="s">
        <v>549</v>
      </c>
    </row>
    <row r="131" spans="2:7" hidden="1" x14ac:dyDescent="0.25">
      <c r="B131" s="101" t="s">
        <v>476</v>
      </c>
      <c r="C131" s="122" t="s">
        <v>662</v>
      </c>
      <c r="D131" s="128">
        <v>2</v>
      </c>
      <c r="G131" s="1" t="s">
        <v>567</v>
      </c>
    </row>
    <row r="132" spans="2:7" hidden="1" x14ac:dyDescent="0.25">
      <c r="B132" s="101" t="s">
        <v>476</v>
      </c>
      <c r="C132" s="122" t="s">
        <v>663</v>
      </c>
      <c r="D132" s="128">
        <v>3</v>
      </c>
      <c r="G132" s="1" t="s">
        <v>659</v>
      </c>
    </row>
    <row r="133" spans="2:7" hidden="1" x14ac:dyDescent="0.25">
      <c r="B133" s="101" t="s">
        <v>476</v>
      </c>
      <c r="C133" s="122" t="s">
        <v>676</v>
      </c>
      <c r="D133" s="128">
        <v>0</v>
      </c>
      <c r="G133" s="1"/>
    </row>
    <row r="134" spans="2:7" hidden="1" x14ac:dyDescent="0.25">
      <c r="B134" s="101" t="s">
        <v>476</v>
      </c>
      <c r="C134" s="122" t="s">
        <v>677</v>
      </c>
      <c r="D134" s="128">
        <v>1</v>
      </c>
      <c r="G134" s="1"/>
    </row>
    <row r="135" spans="2:7" hidden="1" x14ac:dyDescent="0.25">
      <c r="B135" s="101" t="s">
        <v>476</v>
      </c>
      <c r="C135" s="122" t="s">
        <v>678</v>
      </c>
      <c r="D135" s="128">
        <v>2</v>
      </c>
      <c r="G135" s="1"/>
    </row>
    <row r="136" spans="2:7" hidden="1" x14ac:dyDescent="0.25">
      <c r="B136" s="101" t="s">
        <v>476</v>
      </c>
      <c r="C136" s="122" t="s">
        <v>679</v>
      </c>
      <c r="D136" s="128">
        <v>3</v>
      </c>
      <c r="G136" s="1"/>
    </row>
    <row r="137" spans="2:7" hidden="1" x14ac:dyDescent="0.25">
      <c r="B137" s="101" t="s">
        <v>476</v>
      </c>
      <c r="C137" s="122" t="s">
        <v>512</v>
      </c>
      <c r="D137" s="128" t="s">
        <v>496</v>
      </c>
      <c r="G137" s="1"/>
    </row>
    <row r="138" spans="2:7" ht="16.5" hidden="1" x14ac:dyDescent="0.25">
      <c r="B138" s="101" t="s">
        <v>476</v>
      </c>
      <c r="C138" s="122" t="s">
        <v>513</v>
      </c>
      <c r="D138" s="128" t="s">
        <v>497</v>
      </c>
      <c r="G138" s="1"/>
    </row>
    <row r="139" spans="2:7" ht="16.5" hidden="1" x14ac:dyDescent="0.25">
      <c r="B139" s="101" t="s">
        <v>476</v>
      </c>
      <c r="C139" s="122" t="s">
        <v>514</v>
      </c>
      <c r="D139" s="128" t="s">
        <v>498</v>
      </c>
      <c r="G139" s="1"/>
    </row>
    <row r="140" spans="2:7" ht="16.5" hidden="1" x14ac:dyDescent="0.25">
      <c r="B140" s="101" t="s">
        <v>476</v>
      </c>
      <c r="C140" s="122" t="s">
        <v>515</v>
      </c>
      <c r="D140" s="128" t="s">
        <v>499</v>
      </c>
      <c r="G140" s="1"/>
    </row>
    <row r="141" spans="2:7" ht="16.5" hidden="1" x14ac:dyDescent="0.25">
      <c r="B141" s="101" t="s">
        <v>476</v>
      </c>
      <c r="C141" s="122" t="s">
        <v>516</v>
      </c>
      <c r="D141" s="128" t="s">
        <v>500</v>
      </c>
      <c r="G141" s="1"/>
    </row>
    <row r="142" spans="2:7" ht="16.5" hidden="1" x14ac:dyDescent="0.25">
      <c r="B142" s="101" t="s">
        <v>476</v>
      </c>
      <c r="C142" s="122" t="s">
        <v>517</v>
      </c>
      <c r="D142" s="128" t="s">
        <v>499</v>
      </c>
      <c r="G142" s="1"/>
    </row>
    <row r="143" spans="2:7" ht="16.5" hidden="1" x14ac:dyDescent="0.25">
      <c r="B143" s="101" t="s">
        <v>476</v>
      </c>
      <c r="C143" s="122" t="s">
        <v>518</v>
      </c>
      <c r="D143" s="128">
        <v>1</v>
      </c>
      <c r="E143" s="101" t="s">
        <v>501</v>
      </c>
      <c r="G143" s="1"/>
    </row>
    <row r="144" spans="2:7" ht="16.5" hidden="1" x14ac:dyDescent="0.25">
      <c r="B144" s="101" t="s">
        <v>476</v>
      </c>
      <c r="C144" s="122" t="s">
        <v>519</v>
      </c>
      <c r="D144" s="128">
        <v>2</v>
      </c>
      <c r="E144" s="101" t="s">
        <v>502</v>
      </c>
      <c r="G144" s="1"/>
    </row>
    <row r="145" spans="2:7" ht="16.5" hidden="1" x14ac:dyDescent="0.25">
      <c r="B145" s="101" t="s">
        <v>476</v>
      </c>
      <c r="C145" s="122" t="s">
        <v>520</v>
      </c>
      <c r="D145" s="128">
        <v>3</v>
      </c>
      <c r="E145" s="101" t="s">
        <v>503</v>
      </c>
      <c r="G145" s="1"/>
    </row>
    <row r="146" spans="2:7" ht="16.5" hidden="1" x14ac:dyDescent="0.25">
      <c r="B146" s="101" t="s">
        <v>476</v>
      </c>
      <c r="C146" s="122" t="s">
        <v>521</v>
      </c>
      <c r="D146" s="128">
        <v>4</v>
      </c>
      <c r="E146" s="101" t="s">
        <v>504</v>
      </c>
      <c r="G146" s="1"/>
    </row>
    <row r="147" spans="2:7" ht="16.5" hidden="1" x14ac:dyDescent="0.25">
      <c r="B147" s="101" t="s">
        <v>476</v>
      </c>
      <c r="C147" s="122" t="s">
        <v>522</v>
      </c>
      <c r="D147" s="128">
        <v>5</v>
      </c>
      <c r="E147" s="101" t="s">
        <v>505</v>
      </c>
      <c r="G147" s="1"/>
    </row>
    <row r="148" spans="2:7" ht="16.5" hidden="1" x14ac:dyDescent="0.25">
      <c r="B148" s="101" t="s">
        <v>476</v>
      </c>
      <c r="C148" s="122" t="s">
        <v>523</v>
      </c>
      <c r="D148" s="128">
        <v>6</v>
      </c>
      <c r="E148" s="101" t="s">
        <v>506</v>
      </c>
      <c r="G148" s="1"/>
    </row>
    <row r="149" spans="2:7" ht="16.5" hidden="1" x14ac:dyDescent="0.25">
      <c r="B149" s="101" t="s">
        <v>476</v>
      </c>
      <c r="C149" s="122" t="s">
        <v>524</v>
      </c>
      <c r="D149" s="128">
        <v>7</v>
      </c>
      <c r="E149" s="101" t="s">
        <v>507</v>
      </c>
      <c r="G149" s="1"/>
    </row>
    <row r="150" spans="2:7" ht="16.5" hidden="1" x14ac:dyDescent="0.25">
      <c r="B150" s="101" t="s">
        <v>476</v>
      </c>
      <c r="C150" s="122" t="s">
        <v>508</v>
      </c>
      <c r="D150" s="128">
        <v>1</v>
      </c>
      <c r="G150" s="1"/>
    </row>
    <row r="151" spans="2:7" ht="16.5" hidden="1" x14ac:dyDescent="0.25">
      <c r="B151" s="101" t="s">
        <v>476</v>
      </c>
      <c r="C151" s="122" t="s">
        <v>509</v>
      </c>
      <c r="D151" s="128">
        <v>2</v>
      </c>
      <c r="G151" s="1"/>
    </row>
    <row r="152" spans="2:7" ht="16.5" hidden="1" x14ac:dyDescent="0.25">
      <c r="B152" s="101" t="s">
        <v>476</v>
      </c>
      <c r="C152" s="122" t="s">
        <v>510</v>
      </c>
      <c r="D152" s="128">
        <v>3</v>
      </c>
      <c r="G152" s="1"/>
    </row>
    <row r="153" spans="2:7" ht="16.5" hidden="1" x14ac:dyDescent="0.25">
      <c r="B153" s="101" t="s">
        <v>476</v>
      </c>
      <c r="C153" s="122" t="s">
        <v>525</v>
      </c>
      <c r="D153" s="128">
        <v>1</v>
      </c>
      <c r="G153" s="1"/>
    </row>
    <row r="154" spans="2:7" ht="16.5" hidden="1" x14ac:dyDescent="0.25">
      <c r="B154" s="101" t="s">
        <v>476</v>
      </c>
      <c r="C154" s="122" t="s">
        <v>526</v>
      </c>
      <c r="D154" s="128">
        <v>2</v>
      </c>
      <c r="G154" s="1"/>
    </row>
    <row r="155" spans="2:7" ht="16.5" hidden="1" x14ac:dyDescent="0.25">
      <c r="B155" s="101" t="s">
        <v>476</v>
      </c>
      <c r="C155" s="122" t="s">
        <v>527</v>
      </c>
      <c r="D155" s="128">
        <v>3</v>
      </c>
      <c r="G155" s="1"/>
    </row>
    <row r="156" spans="2:7" ht="16.5" hidden="1" x14ac:dyDescent="0.25">
      <c r="B156" s="101" t="s">
        <v>476</v>
      </c>
      <c r="C156" s="122" t="s">
        <v>528</v>
      </c>
      <c r="D156" s="128">
        <v>4</v>
      </c>
      <c r="G156" s="1"/>
    </row>
    <row r="157" spans="2:7" ht="16.5" hidden="1" x14ac:dyDescent="0.25">
      <c r="B157" s="101" t="s">
        <v>476</v>
      </c>
      <c r="C157" s="122" t="s">
        <v>541</v>
      </c>
      <c r="D157" s="128">
        <v>5</v>
      </c>
      <c r="G157" s="1"/>
    </row>
    <row r="158" spans="2:7" ht="16.5" hidden="1" x14ac:dyDescent="0.25">
      <c r="B158" s="101" t="s">
        <v>476</v>
      </c>
      <c r="C158" s="122" t="s">
        <v>550</v>
      </c>
      <c r="D158" s="128">
        <v>0</v>
      </c>
      <c r="G158" s="1"/>
    </row>
    <row r="159" spans="2:7" ht="16.5" hidden="1" x14ac:dyDescent="0.25">
      <c r="B159" s="101" t="s">
        <v>476</v>
      </c>
      <c r="C159" s="122" t="s">
        <v>551</v>
      </c>
      <c r="D159" s="128">
        <v>1</v>
      </c>
      <c r="G159" s="1"/>
    </row>
    <row r="160" spans="2:7" ht="16.5" hidden="1" x14ac:dyDescent="0.25">
      <c r="B160" s="101" t="s">
        <v>476</v>
      </c>
      <c r="C160" s="122" t="s">
        <v>552</v>
      </c>
      <c r="D160" s="128">
        <v>0</v>
      </c>
      <c r="G160" s="1"/>
    </row>
    <row r="161" spans="2:7" ht="16.5" hidden="1" x14ac:dyDescent="0.25">
      <c r="B161" s="101" t="s">
        <v>476</v>
      </c>
      <c r="C161" s="122" t="s">
        <v>553</v>
      </c>
      <c r="D161" s="128">
        <v>1</v>
      </c>
      <c r="G161" s="1"/>
    </row>
    <row r="162" spans="2:7" ht="16.5" hidden="1" x14ac:dyDescent="0.25">
      <c r="B162" s="101" t="s">
        <v>476</v>
      </c>
      <c r="C162" s="122" t="s">
        <v>554</v>
      </c>
      <c r="D162" s="128">
        <v>0</v>
      </c>
      <c r="G162" s="1"/>
    </row>
    <row r="163" spans="2:7" ht="16.5" hidden="1" x14ac:dyDescent="0.25">
      <c r="B163" s="101" t="s">
        <v>476</v>
      </c>
      <c r="C163" s="122" t="s">
        <v>555</v>
      </c>
      <c r="D163" s="128">
        <v>1</v>
      </c>
      <c r="G163" s="1"/>
    </row>
    <row r="164" spans="2:7" ht="16.5" hidden="1" x14ac:dyDescent="0.25">
      <c r="B164" s="101" t="s">
        <v>476</v>
      </c>
      <c r="C164" s="122" t="s">
        <v>556</v>
      </c>
      <c r="D164" s="128">
        <v>0</v>
      </c>
      <c r="G164" s="1"/>
    </row>
    <row r="165" spans="2:7" ht="16.5" hidden="1" x14ac:dyDescent="0.25">
      <c r="B165" s="101" t="s">
        <v>476</v>
      </c>
      <c r="C165" s="122" t="s">
        <v>557</v>
      </c>
      <c r="D165" s="128">
        <v>1</v>
      </c>
      <c r="G165" s="1"/>
    </row>
    <row r="166" spans="2:7" ht="16.5" hidden="1" x14ac:dyDescent="0.25">
      <c r="B166" s="101" t="s">
        <v>476</v>
      </c>
      <c r="C166" s="122" t="s">
        <v>558</v>
      </c>
      <c r="D166" s="128">
        <v>0</v>
      </c>
      <c r="G166" s="1"/>
    </row>
    <row r="167" spans="2:7" ht="16.5" hidden="1" x14ac:dyDescent="0.25">
      <c r="B167" s="101" t="s">
        <v>476</v>
      </c>
      <c r="C167" s="122" t="s">
        <v>559</v>
      </c>
      <c r="D167" s="128">
        <v>1</v>
      </c>
      <c r="G167" s="1"/>
    </row>
    <row r="168" spans="2:7" ht="16.5" hidden="1" x14ac:dyDescent="0.25">
      <c r="B168" s="101" t="s">
        <v>476</v>
      </c>
      <c r="C168" s="122" t="s">
        <v>560</v>
      </c>
      <c r="D168" s="128">
        <v>0</v>
      </c>
      <c r="G168" s="1"/>
    </row>
    <row r="169" spans="2:7" ht="16.5" hidden="1" x14ac:dyDescent="0.25">
      <c r="B169" s="101" t="s">
        <v>476</v>
      </c>
      <c r="C169" s="122" t="s">
        <v>561</v>
      </c>
      <c r="D169" s="128">
        <v>1</v>
      </c>
      <c r="G169" s="1"/>
    </row>
    <row r="170" spans="2:7" ht="16.5" hidden="1" x14ac:dyDescent="0.25">
      <c r="B170" s="101" t="s">
        <v>476</v>
      </c>
      <c r="C170" s="122" t="s">
        <v>562</v>
      </c>
      <c r="D170" s="128">
        <v>0</v>
      </c>
      <c r="G170" s="1"/>
    </row>
    <row r="171" spans="2:7" ht="16.5" hidden="1" x14ac:dyDescent="0.25">
      <c r="B171" s="101" t="s">
        <v>476</v>
      </c>
      <c r="C171" s="122" t="s">
        <v>563</v>
      </c>
      <c r="D171" s="128">
        <v>1</v>
      </c>
      <c r="G171" s="1"/>
    </row>
    <row r="172" spans="2:7" ht="16.5" hidden="1" x14ac:dyDescent="0.25">
      <c r="B172" s="101" t="s">
        <v>476</v>
      </c>
      <c r="C172" s="122" t="s">
        <v>564</v>
      </c>
      <c r="D172" s="128">
        <v>0</v>
      </c>
      <c r="G172" s="1"/>
    </row>
    <row r="173" spans="2:7" ht="16.5" hidden="1" x14ac:dyDescent="0.25">
      <c r="B173" s="101" t="s">
        <v>476</v>
      </c>
      <c r="C173" s="122" t="s">
        <v>565</v>
      </c>
      <c r="D173" s="128">
        <v>1</v>
      </c>
      <c r="G173" s="1"/>
    </row>
    <row r="174" spans="2:7" ht="16.5" hidden="1" x14ac:dyDescent="0.25">
      <c r="B174" s="101" t="s">
        <v>476</v>
      </c>
      <c r="C174" s="122" t="s">
        <v>566</v>
      </c>
      <c r="D174" s="128">
        <v>0</v>
      </c>
      <c r="G174" s="1"/>
    </row>
    <row r="175" spans="2:7" ht="16.5" hidden="1" x14ac:dyDescent="0.25">
      <c r="B175" s="101" t="s">
        <v>476</v>
      </c>
      <c r="C175" s="122" t="s">
        <v>581</v>
      </c>
      <c r="D175" s="128">
        <v>1</v>
      </c>
      <c r="G175" s="1"/>
    </row>
    <row r="176" spans="2:7" ht="16.5" hidden="1" x14ac:dyDescent="0.25">
      <c r="B176" s="101" t="s">
        <v>476</v>
      </c>
      <c r="C176" s="122" t="s">
        <v>658</v>
      </c>
      <c r="D176" s="128">
        <v>0</v>
      </c>
      <c r="G176" s="1"/>
    </row>
    <row r="177" spans="2:7" ht="16.5" hidden="1" x14ac:dyDescent="0.25">
      <c r="B177" s="101" t="s">
        <v>476</v>
      </c>
      <c r="C177" s="122" t="s">
        <v>568</v>
      </c>
      <c r="D177" s="128">
        <v>1</v>
      </c>
      <c r="G177" s="1"/>
    </row>
    <row r="178" spans="2:7" ht="16.5" hidden="1" x14ac:dyDescent="0.25">
      <c r="D178" s="128"/>
      <c r="G178" s="1"/>
    </row>
    <row r="179" spans="2:7" ht="16.5" hidden="1" x14ac:dyDescent="0.25">
      <c r="D179" s="128"/>
      <c r="G179" s="1"/>
    </row>
    <row r="180" spans="2:7" ht="16.5" hidden="1" x14ac:dyDescent="0.25">
      <c r="D180" s="128"/>
      <c r="G180" s="1"/>
    </row>
    <row r="181" spans="2:7" ht="16.5" hidden="1" x14ac:dyDescent="0.25">
      <c r="D181" s="128"/>
      <c r="G181" s="1"/>
    </row>
    <row r="182" spans="2:7" ht="16.5" hidden="1" x14ac:dyDescent="0.25">
      <c r="D182" s="128"/>
      <c r="G182" s="1"/>
    </row>
    <row r="183" spans="2:7" ht="16.5" hidden="1" x14ac:dyDescent="0.25">
      <c r="D183" s="128"/>
      <c r="G183" s="1"/>
    </row>
    <row r="184" spans="2:7" ht="16.5" hidden="1" x14ac:dyDescent="0.25">
      <c r="D184" s="128"/>
      <c r="G184" s="1"/>
    </row>
    <row r="185" spans="2:7" ht="16.5" hidden="1" x14ac:dyDescent="0.25">
      <c r="D185" s="128"/>
      <c r="G185" s="1"/>
    </row>
    <row r="186" spans="2:7" ht="16.5" hidden="1" x14ac:dyDescent="0.25">
      <c r="D186" s="128"/>
      <c r="G186" s="1"/>
    </row>
    <row r="187" spans="2:7" ht="16.5" hidden="1" x14ac:dyDescent="0.25">
      <c r="D187" s="128"/>
      <c r="G187" s="1"/>
    </row>
    <row r="188" spans="2:7" ht="16.5" hidden="1" x14ac:dyDescent="0.25">
      <c r="D188" s="128"/>
      <c r="G188" s="1"/>
    </row>
    <row r="189" spans="2:7" ht="16.5" hidden="1" x14ac:dyDescent="0.25">
      <c r="D189" s="128"/>
      <c r="G189" s="1"/>
    </row>
    <row r="190" spans="2:7" ht="16.5" hidden="1" x14ac:dyDescent="0.25">
      <c r="D190" s="128"/>
      <c r="G190" s="1"/>
    </row>
    <row r="191" spans="2:7" ht="16.5" hidden="1" x14ac:dyDescent="0.25">
      <c r="D191" s="128"/>
      <c r="G191" s="1"/>
    </row>
    <row r="192" spans="2:7" ht="16.5" hidden="1" x14ac:dyDescent="0.25">
      <c r="D192" s="128"/>
      <c r="G192" s="1"/>
    </row>
    <row r="193" spans="4:7" ht="16.5" hidden="1" x14ac:dyDescent="0.25">
      <c r="D193" s="128"/>
      <c r="G193" s="1"/>
    </row>
    <row r="194" spans="4:7" ht="16.5" hidden="1" x14ac:dyDescent="0.25">
      <c r="D194" s="128"/>
      <c r="G194" s="1"/>
    </row>
    <row r="195" spans="4:7" ht="16.5" hidden="1" x14ac:dyDescent="0.25">
      <c r="D195" s="128"/>
      <c r="G195" s="1"/>
    </row>
    <row r="196" spans="4:7" hidden="1" x14ac:dyDescent="0.25">
      <c r="D196" s="128"/>
      <c r="G196" s="1"/>
    </row>
    <row r="197" spans="4:7" hidden="1" x14ac:dyDescent="0.25">
      <c r="D197" s="128"/>
      <c r="G197" s="1"/>
    </row>
    <row r="198" spans="4:7" ht="16.5" hidden="1" x14ac:dyDescent="0.25">
      <c r="D198" s="128"/>
      <c r="G198" s="1"/>
    </row>
    <row r="199" spans="4:7" ht="16.5" hidden="1" x14ac:dyDescent="0.25">
      <c r="D199" s="128"/>
      <c r="G199" s="1"/>
    </row>
    <row r="200" spans="4:7" hidden="1" x14ac:dyDescent="0.25">
      <c r="D200" s="128"/>
      <c r="G200" s="1"/>
    </row>
    <row r="201" spans="4:7" hidden="1" x14ac:dyDescent="0.25">
      <c r="D201" s="128"/>
      <c r="G201" s="1"/>
    </row>
    <row r="202" spans="4:7" hidden="1" x14ac:dyDescent="0.25">
      <c r="D202" s="128"/>
      <c r="G202" s="1"/>
    </row>
    <row r="203" spans="4:7" hidden="1" x14ac:dyDescent="0.25">
      <c r="D203" s="128"/>
      <c r="G203" s="1"/>
    </row>
    <row r="204" spans="4:7" ht="16.5" hidden="1" x14ac:dyDescent="0.25">
      <c r="D204" s="128"/>
      <c r="G204" s="1"/>
    </row>
    <row r="205" spans="4:7" ht="16.5" hidden="1" x14ac:dyDescent="0.25">
      <c r="D205" s="128"/>
      <c r="G205" s="1"/>
    </row>
    <row r="206" spans="4:7" ht="16.5" hidden="1" x14ac:dyDescent="0.25">
      <c r="D206" s="128"/>
      <c r="G206" s="1"/>
    </row>
    <row r="207" spans="4:7" ht="16.5" hidden="1" x14ac:dyDescent="0.25">
      <c r="D207" s="128"/>
      <c r="G207" s="1"/>
    </row>
    <row r="208" spans="4:7" hidden="1" x14ac:dyDescent="0.25">
      <c r="D208" s="128"/>
      <c r="G208" s="1"/>
    </row>
    <row r="209" spans="2:7" hidden="1" x14ac:dyDescent="0.25">
      <c r="B209" s="101" t="s">
        <v>667</v>
      </c>
      <c r="C209" s="122" t="s">
        <v>669</v>
      </c>
      <c r="D209" s="128">
        <v>0</v>
      </c>
      <c r="G209" s="1"/>
    </row>
    <row r="210" spans="2:7" ht="16.5" hidden="1" x14ac:dyDescent="0.25">
      <c r="B210" s="101" t="s">
        <v>667</v>
      </c>
      <c r="C210" s="122" t="s">
        <v>569</v>
      </c>
      <c r="D210" s="128">
        <v>1</v>
      </c>
      <c r="G210" s="1"/>
    </row>
    <row r="211" spans="2:7" ht="16.5" hidden="1" x14ac:dyDescent="0.25">
      <c r="B211" s="101" t="s">
        <v>667</v>
      </c>
      <c r="C211" s="122" t="s">
        <v>670</v>
      </c>
      <c r="D211" s="128">
        <v>0</v>
      </c>
      <c r="G211" s="1"/>
    </row>
    <row r="212" spans="2:7" hidden="1" x14ac:dyDescent="0.25">
      <c r="B212" s="101" t="s">
        <v>667</v>
      </c>
      <c r="C212" s="122" t="s">
        <v>671</v>
      </c>
      <c r="D212" s="128">
        <v>1</v>
      </c>
      <c r="G212" s="1"/>
    </row>
    <row r="213" spans="2:7" hidden="1" x14ac:dyDescent="0.25">
      <c r="B213" s="101" t="s">
        <v>667</v>
      </c>
      <c r="C213" s="122" t="s">
        <v>569</v>
      </c>
      <c r="D213" s="128">
        <v>1</v>
      </c>
      <c r="G213" s="1"/>
    </row>
    <row r="214" spans="2:7" ht="16.5" hidden="1" x14ac:dyDescent="0.25">
      <c r="B214" s="101" t="s">
        <v>667</v>
      </c>
      <c r="C214" s="122" t="s">
        <v>670</v>
      </c>
      <c r="D214" s="128">
        <v>0</v>
      </c>
      <c r="G214" s="1"/>
    </row>
    <row r="215" spans="2:7" ht="16.5" hidden="1" x14ac:dyDescent="0.25">
      <c r="B215" s="101" t="s">
        <v>667</v>
      </c>
      <c r="C215" s="122" t="s">
        <v>671</v>
      </c>
      <c r="D215" s="128">
        <v>1</v>
      </c>
      <c r="G215" s="1"/>
    </row>
    <row r="216" spans="2:7" hidden="1" x14ac:dyDescent="0.25">
      <c r="D216" s="128"/>
    </row>
    <row r="217" spans="2:7" hidden="1" x14ac:dyDescent="0.25">
      <c r="D217" s="128"/>
    </row>
    <row r="218" spans="2:7" hidden="1" x14ac:dyDescent="0.25">
      <c r="D218" s="128"/>
    </row>
    <row r="219" spans="2:7" hidden="1" x14ac:dyDescent="0.25">
      <c r="D219" s="128"/>
    </row>
    <row r="220" spans="2:7" hidden="1" x14ac:dyDescent="0.25">
      <c r="D220" s="128"/>
    </row>
    <row r="221" spans="2:7" hidden="1" x14ac:dyDescent="0.25">
      <c r="D221" s="128"/>
    </row>
    <row r="222" spans="2:7" hidden="1" x14ac:dyDescent="0.25">
      <c r="D222" s="128"/>
    </row>
    <row r="223" spans="2:7" hidden="1" x14ac:dyDescent="0.25">
      <c r="D223" s="128"/>
    </row>
    <row r="224" spans="2:7" hidden="1" x14ac:dyDescent="0.25">
      <c r="D224" s="128"/>
    </row>
    <row r="225" spans="2:9" hidden="1" x14ac:dyDescent="0.25">
      <c r="D225" s="128"/>
    </row>
    <row r="226" spans="2:9" ht="16.5" hidden="1" thickBot="1" x14ac:dyDescent="0.3">
      <c r="B226" s="101">
        <f>COUNTIF(B228:B292, "*_*")</f>
        <v>33</v>
      </c>
      <c r="C226" s="101"/>
      <c r="D226" s="128"/>
    </row>
    <row r="227" spans="2:9" hidden="1" x14ac:dyDescent="0.25">
      <c r="B227" s="113" t="str">
        <f>IF(Keil_info!C5&lt;&gt;"", Keil_info!C5, "")</f>
        <v>Keywords</v>
      </c>
      <c r="C227" s="114" t="str">
        <f>IF(Keil_info!D5&lt;&gt;"", Keil_info!D5, "")</f>
        <v>drv</v>
      </c>
      <c r="D227" s="135" t="str">
        <f>IF(Keil_info!E5&lt;&gt;"", Keil_info!E5, "")</f>
        <v>dev</v>
      </c>
      <c r="E227" s="114" t="str">
        <f>IF(Keil_info!F5&lt;&gt;"", Keil_info!F5, "")</f>
        <v>mdw</v>
      </c>
      <c r="F227" s="114" t="str">
        <f>IF(Keil_info!G5&lt;&gt;"", Keil_info!G5, "")</f>
        <v>path</v>
      </c>
      <c r="G227" s="114" t="str">
        <f>IF(Keil_info!H5&lt;&gt;"", Keil_info!H5, "")</f>
        <v>init</v>
      </c>
      <c r="H227" s="114" t="str">
        <f>IF(Keil_info!I5&lt;&gt;"", Keil_info!I5, "")</f>
        <v>include</v>
      </c>
      <c r="I227" s="115" t="str">
        <f>IF(Keil_info!J5&lt;&gt;"", Keil_info!J5, "")</f>
        <v>sensor_ops</v>
      </c>
    </row>
    <row r="228" spans="2:9" hidden="1" x14ac:dyDescent="0.25">
      <c r="B228" s="116" t="str">
        <f>IF(Keil_info!C6&lt;&gt;"", Keil_info!C6, "")</f>
        <v>IMG_SRC_IN_PORT_MIPI</v>
      </c>
      <c r="C228" s="117" t="str">
        <f>IF(Keil_info!D6&lt;&gt;"", Keil_info!D6, "")</f>
        <v>kdrv_ddr.c,kdrv_clock.c,kdrv_system.c,kdrv_power.c,kdrv_dpi2ahb.c,kdrv_mipicsirx.c,kdrv_fb_mgr.c,kdrv_i2c.c</v>
      </c>
      <c r="D228" s="136" t="str">
        <f>IF(Keil_info!E6&lt;&gt;"", Keil_info!E6, "")</f>
        <v/>
      </c>
      <c r="E228" s="117" t="str">
        <f>IF(Keil_info!F6&lt;&gt;"", Keil_info!F6, "")</f>
        <v>kmdw_camera_kl720.c,kmdw_camera.c,kmdw_sensor.c,</v>
      </c>
      <c r="F228" s="117" t="str">
        <f>IF(Keil_info!G6&lt;&gt;"", Keil_info!G6, "")</f>
        <v>..\..\..\..\..\firmware\platform\asic\kl720\scpu\drv\include;..\..\..\..\..\firmware\platform\asic\kl720\common;..\..\..\..\..\firmware\platform\asic\kl720\scpu\rtos\rtx\include;..\..\sn720ev_9x9;..\..\..\..\..\firmware\platform\board\board_sn720ev_9x9;..\..\..\..\..\..\mdw\include;..\..\..\..\..\..\platform\dev\include</v>
      </c>
      <c r="G228" s="117" t="str">
        <f>IF(Keil_info!H6&lt;&gt;"", Keil_info!H6, "")</f>
        <v>kmdw_camera_init();</v>
      </c>
      <c r="H228" s="117" t="str">
        <f>IF(Keil_info!I6&lt;&gt;"", Keil_info!I6, "")</f>
        <v>#include "kmdw_camera.h"</v>
      </c>
      <c r="I228" s="118" t="str">
        <f>IF(Keil_info!J6&lt;&gt;"", Keil_info!J6, "")</f>
        <v/>
      </c>
    </row>
    <row r="229" spans="2:9" hidden="1" x14ac:dyDescent="0.25">
      <c r="B229" s="116" t="str">
        <f>IF(Keil_info!C7&lt;&gt;"", Keil_info!C7, "")</f>
        <v>IMG_SRC_IN_PORT_DPI</v>
      </c>
      <c r="C229" s="117" t="str">
        <f>IF(Keil_info!D7&lt;&gt;"", Keil_info!D7, "")</f>
        <v>kdrv_ddr.c,kdrv_clock.c,kdrv_system.c,kdrv_power.c,kdrv_dpi2ahb.c,kdrv_dpi.c,kdrv_fb_mgr.c,kdrv_i2c.c</v>
      </c>
      <c r="D229" s="136" t="str">
        <f>IF(Keil_info!E7&lt;&gt;"", Keil_info!E7, "")</f>
        <v/>
      </c>
      <c r="E229" s="117" t="str">
        <f>IF(Keil_info!F7&lt;&gt;"", Keil_info!F7, "")</f>
        <v/>
      </c>
      <c r="F229" s="117" t="str">
        <f>IF(Keil_info!G7&lt;&gt;"", Keil_info!G7, "")</f>
        <v>..\..\..\..\..\firmware\platform\asic\kl720\scpu\drv\include;..\..\..\..\..\firmware\platform\asic\kl720\common;..\..\..\..\..\firmware\platform\asic\kl720\scpu\rtos\rtx\include;..\..\sn720ev_9x9;..\..\..\..\..\firmware\platform\board\board_sn720ev_9x9</v>
      </c>
      <c r="G229" s="117" t="str">
        <f>IF(Keil_info!H7&lt;&gt;"", Keil_info!H7, "")</f>
        <v>kmdw_camera_init();</v>
      </c>
      <c r="H229" s="117" t="str">
        <f>IF(Keil_info!I7&lt;&gt;"", Keil_info!I7, "")</f>
        <v>#include "kmdw_camera.h"</v>
      </c>
      <c r="I229" s="118" t="str">
        <f>IF(Keil_info!J7&lt;&gt;"", Keil_info!J7, "")</f>
        <v/>
      </c>
    </row>
    <row r="230" spans="2:9" hidden="1" x14ac:dyDescent="0.25">
      <c r="B230" s="116" t="str">
        <f>IF(Keil_info!C8&lt;&gt;"", Keil_info!C8, "")</f>
        <v>IMG_SRC_IN_PORT_UVC</v>
      </c>
      <c r="C230" s="117" t="str">
        <f>IF(Keil_info!D8&lt;&gt;"", Keil_info!D8, "")</f>
        <v>kdrv_ddr.c,kdrv_clock.c,kdrv_system.c,kdrv_power.c,kdrv_uvc.c,kdrv_fb_mgr.c,kdrv_i2c.c</v>
      </c>
      <c r="D230" s="136" t="str">
        <f>IF(Keil_info!E8&lt;&gt;"", Keil_info!E8, "")</f>
        <v/>
      </c>
      <c r="E230" s="117" t="str">
        <f>IF(Keil_info!F8&lt;&gt;"", Keil_info!F8, "")</f>
        <v/>
      </c>
      <c r="F230" s="117" t="str">
        <f>IF(Keil_info!G8&lt;&gt;"", Keil_info!G8, "")</f>
        <v>..\..\..\..\..\firmware\platform\asic\kl720\scpu\drv\include;..\..\..\..\..\firmware\platform\asic\kl720\common;..\..\..\..\..\firmware\platform\asic\kl720\scpu\rtos\rtx\include;..\..\sn720ev_9x9;..\..\..\..\..\firmware\platform\board\board_sn720ev_9x9</v>
      </c>
      <c r="G230" s="117" t="str">
        <f>IF(Keil_info!H8&lt;&gt;"", Keil_info!H8, "")</f>
        <v>kmdw_camera_init();</v>
      </c>
      <c r="H230" s="117" t="str">
        <f>IF(Keil_info!I8&lt;&gt;"", Keil_info!I8, "")</f>
        <v>#include "kmdw_camera.h"</v>
      </c>
      <c r="I230" s="118" t="str">
        <f>IF(Keil_info!J8&lt;&gt;"", Keil_info!J8, "")</f>
        <v/>
      </c>
    </row>
    <row r="231" spans="2:9" hidden="1" x14ac:dyDescent="0.25">
      <c r="B231" s="116" t="str">
        <f>IF(Keil_info!C9&lt;&gt;"", Keil_info!C9, "")</f>
        <v>SENSOR_ID_GC2145</v>
      </c>
      <c r="C231" s="117" t="str">
        <f>IF(Keil_info!D9&lt;&gt;"", Keil_info!D9, "")</f>
        <v/>
      </c>
      <c r="D231" s="136" t="str">
        <f>IF(Keil_info!E9&lt;&gt;"", Keil_info!E9, "")</f>
        <v>kdev_sensor_gc2145.c</v>
      </c>
      <c r="E231" s="117" t="str">
        <f>IF(Keil_info!F9&lt;&gt;"", Keil_info!F9, "")</f>
        <v/>
      </c>
      <c r="F231" s="117" t="str">
        <f>IF(Keil_info!G9&lt;&gt;"", Keil_info!G9, "")</f>
        <v>..\..\..\..\..\firmware\platform\asic\kl720\scpu\drv\include;..\..\..\..\..\firmware\platform\asic\kl720\common;..\..\..\..\..\firmware\platform\asic\kl720\scpu\rtos\rtx\include;..\..\sn720ev_9x9;..\..\..\..\..\firmware\platform\board\board_sn720ev_9x9;..\..\..\..\..\..\platform\dev\include</v>
      </c>
      <c r="G231" s="117" t="str">
        <f>IF(Keil_info!H9&lt;&gt;"", Keil_info!H9, "")</f>
        <v>kmdw_camera_init();</v>
      </c>
      <c r="H231" s="117" t="str">
        <f>IF(Keil_info!I9&lt;&gt;"", Keil_info!I9, "")</f>
        <v>#include "kmdw_camera.h"</v>
      </c>
      <c r="I231" s="118" t="str">
        <f>IF(Keil_info!J9&lt;&gt;"", Keil_info!J9, "")</f>
        <v>kdev_sensor_gc2145_get_ops, SENSOR_OPS_ARRAY</v>
      </c>
    </row>
    <row r="232" spans="2:9" hidden="1" x14ac:dyDescent="0.25">
      <c r="B232" s="116" t="str">
        <f>IF(Keil_info!C10&lt;&gt;"", Keil_info!C10, "")</f>
        <v>SENSOR_ID_SC132GS</v>
      </c>
      <c r="C232" s="117" t="str">
        <f>IF(Keil_info!D10&lt;&gt;"", Keil_info!D10, "")</f>
        <v/>
      </c>
      <c r="D232" s="136" t="str">
        <f>IF(Keil_info!E10&lt;&gt;"", Keil_info!E10, "")</f>
        <v>kdev_sensor_sc132gs.c</v>
      </c>
      <c r="E232" s="117" t="str">
        <f>IF(Keil_info!F10&lt;&gt;"", Keil_info!F10, "")</f>
        <v/>
      </c>
      <c r="F232" s="117" t="str">
        <f>IF(Keil_info!G10&lt;&gt;"", Keil_info!G10, "")</f>
        <v>..\..\..\..\..\firmware\platform\asic\kl720\scpu\drv\include;..\..\..\..\..\firmware\platform\asic\kl720\common;..\..\..\..\..\firmware\platform\asic\kl720\scpu\rtos\rtx\include;..\..\sn720ev_9x9;..\..\..\..\..\firmware\platform\board\board_sn720ev_9x9;..\..\..\..\..\..\platform\dev\include</v>
      </c>
      <c r="G232" s="117" t="str">
        <f>IF(Keil_info!H10&lt;&gt;"", Keil_info!H10, "")</f>
        <v>kmdw_camera_init();</v>
      </c>
      <c r="H232" s="117" t="str">
        <f>IF(Keil_info!I10&lt;&gt;"", Keil_info!I10, "")</f>
        <v>#include "kmdw_camera.h"</v>
      </c>
      <c r="I232" s="118" t="str">
        <f>IF(Keil_info!J10&lt;&gt;"", Keil_info!J10, "")</f>
        <v>kdev_sensor_sc132gs_get_ops,SENSOR_OPS_ARRAY</v>
      </c>
    </row>
    <row r="233" spans="2:9" hidden="1" x14ac:dyDescent="0.25">
      <c r="B233" s="116" t="str">
        <f>IF(Keil_info!C11&lt;&gt;"", Keil_info!C11, "")</f>
        <v>SENSOR_ID_HMX2056</v>
      </c>
      <c r="C233" s="117" t="str">
        <f>IF(Keil_info!D11&lt;&gt;"", Keil_info!D11, "")</f>
        <v/>
      </c>
      <c r="D233" s="136" t="str">
        <f>IF(Keil_info!E11&lt;&gt;"", Keil_info!E11, "")</f>
        <v>kdev_sensor_hmx2056.c</v>
      </c>
      <c r="E233" s="117" t="str">
        <f>IF(Keil_info!F11&lt;&gt;"", Keil_info!F11, "")</f>
        <v/>
      </c>
      <c r="F233" s="117" t="str">
        <f>IF(Keil_info!G11&lt;&gt;"", Keil_info!G11, "")</f>
        <v>..\..\..\..\..\firmware\platform\asic\kl720\scpu\drv\include;..\..\..\..\..\firmware\platform\asic\kl720\common;..\..\..\..\..\firmware\platform\asic\kl720\scpu\rtos\rtx\include;..\..\sn720ev_9x9;..\..\..\..\..\firmware\platform\board\board_sn720ev_9x9;..\..\..\..\..\..\platform\dev\include</v>
      </c>
      <c r="G233" s="117" t="str">
        <f>IF(Keil_info!H11&lt;&gt;"", Keil_info!H11, "")</f>
        <v>kmdw_camera_init();</v>
      </c>
      <c r="H233" s="117" t="str">
        <f>IF(Keil_info!I11&lt;&gt;"", Keil_info!I11, "")</f>
        <v>#include "kmdw_camera.h"</v>
      </c>
      <c r="I233" s="118" t="str">
        <f>IF(Keil_info!J11&lt;&gt;"", Keil_info!J11, "")</f>
        <v>Null,SENSOR_OPS_ARRAY</v>
      </c>
    </row>
    <row r="234" spans="2:9" hidden="1" x14ac:dyDescent="0.25">
      <c r="B234" s="116" t="str">
        <f>IF(Keil_info!C12&lt;&gt;"", Keil_info!C12, "")</f>
        <v>SENSOR_ID_OV9286</v>
      </c>
      <c r="C234" s="117" t="str">
        <f>IF(Keil_info!D12&lt;&gt;"", Keil_info!D12, "")</f>
        <v/>
      </c>
      <c r="D234" s="136" t="str">
        <f>IF(Keil_info!E12&lt;&gt;"", Keil_info!E12, "")</f>
        <v>kdev_sensor_ov9286.c</v>
      </c>
      <c r="E234" s="117" t="str">
        <f>IF(Keil_info!F12&lt;&gt;"", Keil_info!F12, "")</f>
        <v/>
      </c>
      <c r="F234" s="117" t="str">
        <f>IF(Keil_info!G12&lt;&gt;"", Keil_info!G12, "")</f>
        <v>..\..\..\..\..\firmware\platform\asic\kl720\scpu\drv\include;..\..\..\..\..\firmware\platform\asic\kl720\common;..\..\..\..\..\firmware\platform\asic\kl720\scpu\rtos\rtx\include;..\..\sn720ev_9x9;..\..\..\..\..\firmware\platform\board\board_sn720ev_9x9;..\..\..\..\..\..\platform\dev\include</v>
      </c>
      <c r="G234" s="117" t="str">
        <f>IF(Keil_info!H12&lt;&gt;"", Keil_info!H12, "")</f>
        <v>kmdw_camera_init();</v>
      </c>
      <c r="H234" s="117" t="str">
        <f>IF(Keil_info!I12&lt;&gt;"", Keil_info!I12, "")</f>
        <v>#include "kmdw_camera.h"</v>
      </c>
      <c r="I234" s="118" t="str">
        <f>IF(Keil_info!J12&lt;&gt;"", Keil_info!J12, "")</f>
        <v>Null,SENSOR_OPS_ARRAY</v>
      </c>
    </row>
    <row r="235" spans="2:9" hidden="1" x14ac:dyDescent="0.25">
      <c r="B235" s="116" t="str">
        <f>IF(Keil_info!C13&lt;&gt;"", Keil_info!C13, "")</f>
        <v>SENSOR_ID_HMXRICA</v>
      </c>
      <c r="C235" s="117" t="str">
        <f>IF(Keil_info!D13&lt;&gt;"", Keil_info!D13, "")</f>
        <v/>
      </c>
      <c r="D235" s="136" t="str">
        <f>IF(Keil_info!E13&lt;&gt;"", Keil_info!E13, "")</f>
        <v>kdev_sensor_hmxrica.c</v>
      </c>
      <c r="E235" s="117" t="str">
        <f>IF(Keil_info!F13&lt;&gt;"", Keil_info!F13, "")</f>
        <v/>
      </c>
      <c r="F235" s="117" t="str">
        <f>IF(Keil_info!G13&lt;&gt;"", Keil_info!G13, "")</f>
        <v>..\..\..\..\..\firmware\platform\asic\kl720\scpu\drv\include;..\..\..\..\..\firmware\platform\asic\kl720\common;..\..\..\..\..\firmware\platform\asic\kl720\scpu\rtos\rtx\include;..\..\sn720ev_9x9;..\..\..\..\..\firmware\platform\board\board_sn720ev_9x9;..\..\..\..\..\..\platform\dev\include</v>
      </c>
      <c r="G235" s="117" t="str">
        <f>IF(Keil_info!H13&lt;&gt;"", Keil_info!H13, "")</f>
        <v>kmdw_camera_init();</v>
      </c>
      <c r="H235" s="117" t="str">
        <f>IF(Keil_info!I13&lt;&gt;"", Keil_info!I13, "")</f>
        <v>#include "kmdw_camera.h"</v>
      </c>
      <c r="I235" s="118" t="str">
        <f>IF(Keil_info!J13&lt;&gt;"", Keil_info!J13, "")</f>
        <v>Null,SENSOR_OPS_ARRAY</v>
      </c>
    </row>
    <row r="236" spans="2:9" hidden="1" x14ac:dyDescent="0.25">
      <c r="B236" s="116" t="str">
        <f>IF(Keil_info!C14&lt;&gt;"", Keil_info!C14, "")</f>
        <v>SENSOR_COM_I2C</v>
      </c>
      <c r="C236" s="117" t="str">
        <f>IF(Keil_info!D14&lt;&gt;"", Keil_info!D14, "")</f>
        <v>kdrv_i2c.c</v>
      </c>
      <c r="D236" s="136" t="str">
        <f>IF(Keil_info!E14&lt;&gt;"", Keil_info!E14, "")</f>
        <v/>
      </c>
      <c r="E236" s="117" t="str">
        <f>IF(Keil_info!F14&lt;&gt;"", Keil_info!F14, "")</f>
        <v/>
      </c>
      <c r="F236" s="117" t="str">
        <f>IF(Keil_info!G14&lt;&gt;"", Keil_info!G14, "")</f>
        <v>..\..\..\..\..\firmware\platform\asic\kl720\scpu\drv\include;..\..\..\..\..\firmware\platform\asic\kl720\common;..\..\..\..\..\firmware\platform\asic\kl720\scpu\rtos\rtx\include;..\..\sn720ev_9x9;..\..\..\..\..\firmware\platform\board\board_sn720ev_9x9</v>
      </c>
      <c r="G236" s="117" t="str">
        <f>IF(Keil_info!H14&lt;&gt;"", Keil_info!H14, "")</f>
        <v>kdrv_i2c_initialize();</v>
      </c>
      <c r="H236" s="117" t="str">
        <f>IF(Keil_info!I14&lt;&gt;"", Keil_info!I14, "")</f>
        <v>#include "kdrv_i2c.h"</v>
      </c>
      <c r="I236" s="118" t="str">
        <f>IF(Keil_info!J14&lt;&gt;"", Keil_info!J14, "")</f>
        <v/>
      </c>
    </row>
    <row r="237" spans="2:9" hidden="1" x14ac:dyDescent="0.25">
      <c r="B237" s="116" t="str">
        <f>IF(Keil_info!C15&lt;&gt;"", Keil_info!C15, "")</f>
        <v>SENSOR_COM_SPI</v>
      </c>
      <c r="C237" s="117" t="str">
        <f>IF(Keil_info!D15&lt;&gt;"", Keil_info!D15, "")</f>
        <v>kdrv_spi.c</v>
      </c>
      <c r="D237" s="136" t="str">
        <f>IF(Keil_info!E15&lt;&gt;"", Keil_info!E15, "")</f>
        <v/>
      </c>
      <c r="E237" s="117" t="str">
        <f>IF(Keil_info!F15&lt;&gt;"", Keil_info!F15, "")</f>
        <v/>
      </c>
      <c r="F237" s="117" t="str">
        <f>IF(Keil_info!G15&lt;&gt;"", Keil_info!G15, "")</f>
        <v>..\..\..\..\..\firmware\platform\asic\kl720\scpu\drv\include;..\..\..\..\..\firmware\platform\asic\kl720\common;..\..\..\..\..\firmware\platform\asic\kl720\scpu\rtos\rtx\include;..\..\sn720ev_9x9;..\..\..\..\..\firmware\platform\board\board_sn720ev_9x9</v>
      </c>
      <c r="G237" s="117" t="str">
        <f>IF(Keil_info!H15&lt;&gt;"", Keil_info!H15, "")</f>
        <v>kmdw_camera_init();</v>
      </c>
      <c r="H237" s="117" t="str">
        <f>IF(Keil_info!I15&lt;&gt;"", Keil_info!I15, "")</f>
        <v>#include "kdrv_spi.h"</v>
      </c>
      <c r="I237" s="118" t="str">
        <f>IF(Keil_info!J15&lt;&gt;"", Keil_info!J15, "")</f>
        <v/>
      </c>
    </row>
    <row r="238" spans="2:9" hidden="1" x14ac:dyDescent="0.25">
      <c r="B238" s="116" t="str">
        <f>IF(Keil_info!C16&lt;&gt;"", Keil_info!C16, "")</f>
        <v xml:space="preserve">FLASH_TYPE_WINBOND_NOR     </v>
      </c>
      <c r="C238" s="117" t="str">
        <f>IF(Keil_info!D16&lt;&gt;"", Keil_info!D16, "")</f>
        <v/>
      </c>
      <c r="D238" s="136" t="str">
        <f>IF(Keil_info!E16&lt;&gt;"", Keil_info!E16, "")</f>
        <v>kdev_flash_winbond.c</v>
      </c>
      <c r="E238" s="117" t="str">
        <f>IF(Keil_info!F16&lt;&gt;"", Keil_info!F16, "")</f>
        <v/>
      </c>
      <c r="F238" s="117" t="str">
        <f>IF(Keil_info!G16&lt;&gt;"", Keil_info!G16, "")</f>
        <v>..\..\..\..\..\firmware\platform\asic\kl720\scpu\drv\include;..\..\..\..\..\firmware\platform\asic\kl720\common;..\..\..\..\..\firmware\platform\asic\kl720\scpu\rtos\rtx\include;..\..\sn720ev_9x9;..\..\..\..\..\firmware\platform\board\board_sn720ev_9x9;..\..\..\..\..\..\platform\dev\include</v>
      </c>
      <c r="G238" s="117" t="str">
        <f>IF(Keil_info!H16&lt;&gt;"", Keil_info!H16, "")</f>
        <v/>
      </c>
      <c r="H238" s="117" t="str">
        <f>IF(Keil_info!I16&lt;&gt;"", Keil_info!I16, "")</f>
        <v/>
      </c>
      <c r="I238" s="118" t="str">
        <f>IF(Keil_info!J16&lt;&gt;"", Keil_info!J16, "")</f>
        <v/>
      </c>
    </row>
    <row r="239" spans="2:9" hidden="1" x14ac:dyDescent="0.25">
      <c r="B239" s="116" t="str">
        <f>IF(Keil_info!C17&lt;&gt;"", Keil_info!C17, "")</f>
        <v xml:space="preserve">FLASH_TYPE_WINBOND_NAND    </v>
      </c>
      <c r="C239" s="117" t="str">
        <f>IF(Keil_info!D17&lt;&gt;"", Keil_info!D17, "")</f>
        <v/>
      </c>
      <c r="D239" s="136" t="str">
        <f>IF(Keil_info!E17&lt;&gt;"", Keil_info!E17, "")</f>
        <v>kdev_flash_winbond.c</v>
      </c>
      <c r="E239" s="117" t="str">
        <f>IF(Keil_info!F17&lt;&gt;"", Keil_info!F17, "")</f>
        <v/>
      </c>
      <c r="F239" s="117" t="str">
        <f>IF(Keil_info!G17&lt;&gt;"", Keil_info!G17, "")</f>
        <v>..\..\..\..\..\firmware\platform\asic\kl720\scpu\drv\include;..\..\..\..\..\firmware\platform\asic\kl720\common;..\..\..\..\..\firmware\platform\asic\kl720\scpu\rtos\rtx\include;..\..\sn720ev_9x9;..\..\..\..\..\firmware\platform\board\board_sn720ev_9x9;..\..\..\..\..\..\platform\dev\include</v>
      </c>
      <c r="G239" s="117" t="str">
        <f>IF(Keil_info!H17&lt;&gt;"", Keil_info!H17, "")</f>
        <v/>
      </c>
      <c r="H239" s="117" t="str">
        <f>IF(Keil_info!I17&lt;&gt;"", Keil_info!I17, "")</f>
        <v/>
      </c>
      <c r="I239" s="118" t="str">
        <f>IF(Keil_info!J17&lt;&gt;"", Keil_info!J17, "")</f>
        <v/>
      </c>
    </row>
    <row r="240" spans="2:9" hidden="1" x14ac:dyDescent="0.25">
      <c r="B240" s="116" t="str">
        <f>IF(Keil_info!C18&lt;&gt;"", Keil_info!C18, "")</f>
        <v xml:space="preserve">FLASH_TYPE_MXIC_NOR        </v>
      </c>
      <c r="C240" s="117" t="str">
        <f>IF(Keil_info!D18&lt;&gt;"", Keil_info!D18, "")</f>
        <v/>
      </c>
      <c r="D240" s="136" t="str">
        <f>IF(Keil_info!E18&lt;&gt;"", Keil_info!E18, "")</f>
        <v>kdev_flash_mxic.c</v>
      </c>
      <c r="E240" s="117" t="str">
        <f>IF(Keil_info!F18&lt;&gt;"", Keil_info!F18, "")</f>
        <v/>
      </c>
      <c r="F240" s="117" t="str">
        <f>IF(Keil_info!G18&lt;&gt;"", Keil_info!G18, "")</f>
        <v>..\..\..\..\..\firmware\platform\asic\kl720\scpu\drv\include;..\..\..\..\..\firmware\platform\asic\kl720\common;..\..\..\..\..\firmware\platform\asic\kl720\scpu\rtos\rtx\include;..\..\sn720ev_9x9;..\..\..\..\..\firmware\platform\board\board_sn720ev_9x9;..\..\..\..\..\..\platform\dev\include</v>
      </c>
      <c r="G240" s="117" t="str">
        <f>IF(Keil_info!H18&lt;&gt;"", Keil_info!H18, "")</f>
        <v/>
      </c>
      <c r="H240" s="117" t="str">
        <f>IF(Keil_info!I18&lt;&gt;"", Keil_info!I18, "")</f>
        <v/>
      </c>
      <c r="I240" s="118" t="str">
        <f>IF(Keil_info!J18&lt;&gt;"", Keil_info!J18, "")</f>
        <v/>
      </c>
    </row>
    <row r="241" spans="2:9" hidden="1" x14ac:dyDescent="0.25">
      <c r="B241" s="116" t="str">
        <f>IF(Keil_info!C19&lt;&gt;"", Keil_info!C19, "")</f>
        <v xml:space="preserve">FLASH_TYPE_MXIC_NAND       </v>
      </c>
      <c r="C241" s="117" t="str">
        <f>IF(Keil_info!D19&lt;&gt;"", Keil_info!D19, "")</f>
        <v/>
      </c>
      <c r="D241" s="136" t="str">
        <f>IF(Keil_info!E19&lt;&gt;"", Keil_info!E19, "")</f>
        <v>kdev_flash_mxic.c</v>
      </c>
      <c r="E241" s="117" t="str">
        <f>IF(Keil_info!F19&lt;&gt;"", Keil_info!F19, "")</f>
        <v/>
      </c>
      <c r="F241" s="117" t="str">
        <f>IF(Keil_info!G19&lt;&gt;"", Keil_info!G19, "")</f>
        <v>..\..\..\..\..\firmware\platform\asic\kl720\scpu\drv\include;..\..\..\..\..\firmware\platform\asic\kl720\common;..\..\..\..\..\firmware\platform\asic\kl720\scpu\rtos\rtx\include;..\..\sn720ev_9x9;..\..\..\..\..\firmware\platform\board\board_sn720ev_9x9;..\..\..\..\..\..\platform\dev\include</v>
      </c>
      <c r="G241" s="117" t="str">
        <f>IF(Keil_info!H19&lt;&gt;"", Keil_info!H19, "")</f>
        <v/>
      </c>
      <c r="H241" s="117" t="str">
        <f>IF(Keil_info!I19&lt;&gt;"", Keil_info!I19, "")</f>
        <v/>
      </c>
      <c r="I241" s="118" t="str">
        <f>IF(Keil_info!J19&lt;&gt;"", Keil_info!J19, "")</f>
        <v/>
      </c>
    </row>
    <row r="242" spans="2:9" hidden="1" x14ac:dyDescent="0.25">
      <c r="B242" s="116" t="str">
        <f>IF(Keil_info!C20&lt;&gt;"", Keil_info!C20, "")</f>
        <v xml:space="preserve">FLASH_TYPE_GIGADEVIVE_NOR  </v>
      </c>
      <c r="C242" s="117" t="str">
        <f>IF(Keil_info!D20&lt;&gt;"", Keil_info!D20, "")</f>
        <v/>
      </c>
      <c r="D242" s="136" t="str">
        <f>IF(Keil_info!E20&lt;&gt;"", Keil_info!E20, "")</f>
        <v/>
      </c>
      <c r="E242" s="117" t="str">
        <f>IF(Keil_info!F20&lt;&gt;"", Keil_info!F20, "")</f>
        <v/>
      </c>
      <c r="F242" s="117" t="str">
        <f>IF(Keil_info!G20&lt;&gt;"", Keil_info!G20, "")</f>
        <v>..\..\..\..\..\firmware\platform\asic\kl720\scpu\drv\include;..\..\..\..\..\firmware\platform\asic\kl720\common;..\..\..\..\..\firmware\platform\asic\kl720\scpu\rtos\rtx\include;..\..\sn720ev_9x9;..\..\..\..\..\firmware\platform\board\board_sn720ev_9x9;..\..\..\..\..\..\platform\dev\include</v>
      </c>
      <c r="G242" s="117" t="str">
        <f>IF(Keil_info!H20&lt;&gt;"", Keil_info!H20, "")</f>
        <v/>
      </c>
      <c r="H242" s="117" t="str">
        <f>IF(Keil_info!I20&lt;&gt;"", Keil_info!I20, "")</f>
        <v/>
      </c>
      <c r="I242" s="118" t="str">
        <f>IF(Keil_info!J20&lt;&gt;"", Keil_info!J20, "")</f>
        <v/>
      </c>
    </row>
    <row r="243" spans="2:9" hidden="1" x14ac:dyDescent="0.25">
      <c r="B243" s="116" t="str">
        <f>IF(Keil_info!C21&lt;&gt;"", Keil_info!C21, "")</f>
        <v xml:space="preserve">FLASH_TYPE_GIGADEVIVE_NAND </v>
      </c>
      <c r="C243" s="117" t="str">
        <f>IF(Keil_info!D21&lt;&gt;"", Keil_info!D21, "")</f>
        <v/>
      </c>
      <c r="D243" s="136" t="str">
        <f>IF(Keil_info!E21&lt;&gt;"", Keil_info!E21, "")</f>
        <v/>
      </c>
      <c r="E243" s="117" t="str">
        <f>IF(Keil_info!F21&lt;&gt;"", Keil_info!F21, "")</f>
        <v/>
      </c>
      <c r="F243" s="117" t="str">
        <f>IF(Keil_info!G21&lt;&gt;"", Keil_info!G21, "")</f>
        <v>..\..\..\..\..\firmware\platform\asic\kl720\scpu\drv\include;..\..\..\..\..\firmware\platform\asic\kl720\common;..\..\..\..\..\firmware\platform\asic\kl720\scpu\rtos\rtx\include;..\..\sn720ev_9x9;..\..\..\..\..\firmware\platform\board\board_sn720ev_9x9;..\..\..\..\..\..\platform\dev\include</v>
      </c>
      <c r="G243" s="117" t="str">
        <f>IF(Keil_info!H21&lt;&gt;"", Keil_info!H21, "")</f>
        <v/>
      </c>
      <c r="H243" s="117" t="str">
        <f>IF(Keil_info!I21&lt;&gt;"", Keil_info!I21, "")</f>
        <v/>
      </c>
      <c r="I243" s="118" t="str">
        <f>IF(Keil_info!J21&lt;&gt;"", Keil_info!J21, "")</f>
        <v/>
      </c>
    </row>
    <row r="244" spans="2:9" hidden="1" x14ac:dyDescent="0.25">
      <c r="B244" s="116" t="str">
        <f>IF(Keil_info!C22&lt;&gt;"", Keil_info!C22, "")</f>
        <v>SUPPORT_ADC_ENABLE</v>
      </c>
      <c r="C244" s="117" t="str">
        <f>IF(Keil_info!D22&lt;&gt;"", Keil_info!D22, "")</f>
        <v>kdrv_clock.c,kdrv_system.c,kdrv_power.c,kdrv_adc.c</v>
      </c>
      <c r="D244" s="136" t="str">
        <f>IF(Keil_info!E22&lt;&gt;"", Keil_info!E22, "")</f>
        <v/>
      </c>
      <c r="E244" s="117" t="str">
        <f>IF(Keil_info!F22&lt;&gt;"", Keil_info!F22, "")</f>
        <v/>
      </c>
      <c r="F244" s="117" t="str">
        <f>IF(Keil_info!G22&lt;&gt;"", Keil_info!G22, "")</f>
        <v>..\..\..\..\..\firmware\platform\asic\kl720\scpu\drv\include;..\..\..\..\..\firmware\platform\asic\kl720\common;..\..\..\..\..\firmware\platform\asic\kl720\scpu\rtos\rtx\include;..\..\sn720ev_9x9;..\..\..\..\..\firmware\platform\board\board_sn720ev_9x9</v>
      </c>
      <c r="G244" s="117" t="str">
        <f>IF(Keil_info!H22&lt;&gt;"", Keil_info!H22, "")</f>
        <v>kdrv_adc_initialize();</v>
      </c>
      <c r="H244" s="117" t="str">
        <f>IF(Keil_info!I22&lt;&gt;"", Keil_info!I22, "")</f>
        <v>#include "kdrv_adc.h"</v>
      </c>
      <c r="I244" s="118" t="str">
        <f>IF(Keil_info!J22&lt;&gt;"", Keil_info!J22, "")</f>
        <v/>
      </c>
    </row>
    <row r="245" spans="2:9" hidden="1" x14ac:dyDescent="0.25">
      <c r="B245" s="116" t="str">
        <f>IF(Keil_info!C23&lt;&gt;"", Keil_info!C23, "")</f>
        <v>SUPPORT_DDR_ENABLE</v>
      </c>
      <c r="C245" s="117" t="str">
        <f>IF(Keil_info!D23&lt;&gt;"", Keil_info!D23, "")</f>
        <v>kdrv_system.c,kdrv_clock.c,kdrv_power.c,kdrv_ddr.c,kdrv_crc.c</v>
      </c>
      <c r="D245" s="136" t="str">
        <f>IF(Keil_info!E23&lt;&gt;"", Keil_info!E23, "")</f>
        <v/>
      </c>
      <c r="E245" s="117" t="str">
        <f>IF(Keil_info!F23&lt;&gt;"", Keil_info!F23, "")</f>
        <v>kmdw_memory.c</v>
      </c>
      <c r="F245" s="117" t="str">
        <f>IF(Keil_info!G23&lt;&gt;"", Keil_info!G23, "")</f>
        <v>..\..\..\..\..\firmware\platform\asic\kl720\scpu\drv\include;..\..\..\..\..\firmware\platform\asic\kl720\common;..\..\..\..\..\firmware\platform\asic\kl720\scpu\rtos\rtx\include;..\..\sn720ev_9x9;..\..\..\..\..\firmware\platform\board\board_sn720ev_9x9;..\..\..\..\..\..\mdw\include;..\..\..\..\..\..\platform\dev\include</v>
      </c>
      <c r="G245" s="117" t="str">
        <f>IF(Keil_info!H23&lt;&gt;"", Keil_info!H23, "")</f>
        <v>kmdw_ddr_initialize();</v>
      </c>
      <c r="H245" s="117" t="str">
        <f>IF(Keil_info!I23&lt;&gt;"", Keil_info!I23, "")</f>
        <v>#include "kmdw_memory.h",#include "kdp_ddr_table.h"</v>
      </c>
      <c r="I245" s="118" t="str">
        <f>IF(Keil_info!J23&lt;&gt;"", Keil_info!J23, "")</f>
        <v/>
      </c>
    </row>
    <row r="246" spans="2:9" hidden="1" x14ac:dyDescent="0.25">
      <c r="B246" s="116" t="str">
        <f>IF(Keil_info!C24&lt;&gt;"", Keil_info!C24, "")</f>
        <v>SUPPORT_GDMA_ENABLE</v>
      </c>
      <c r="C246" s="117" t="str">
        <f>IF(Keil_info!D24&lt;&gt;"", Keil_info!D24, "")</f>
        <v>kdrv_clock.c,kdrv_system.c,kdrv_power.c,kdrv_gdma.c</v>
      </c>
      <c r="D246" s="136" t="str">
        <f>IF(Keil_info!E24&lt;&gt;"", Keil_info!E24, "")</f>
        <v/>
      </c>
      <c r="E246" s="117" t="str">
        <f>IF(Keil_info!F24&lt;&gt;"", Keil_info!F24, "")</f>
        <v/>
      </c>
      <c r="F246" s="117" t="str">
        <f>IF(Keil_info!G24&lt;&gt;"", Keil_info!G24, "")</f>
        <v>..\..\..\..\..\firmware\platform\asic\kl720\scpu\drv\include;..\..\..\..\..\firmware\platform\asic\kl720\common;..\..\..\..\..\firmware\platform\asic\kl720\scpu\rtos\rtx\include;..\..\sn720ev_9x9;..\..\..\..\..\firmware\platform\board\board_sn720ev_9x9</v>
      </c>
      <c r="G246" s="117" t="str">
        <f>IF(Keil_info!H24&lt;&gt;"", Keil_info!H24, "")</f>
        <v>kdrv_gdma_initialize();</v>
      </c>
      <c r="H246" s="117" t="str">
        <f>IF(Keil_info!I24&lt;&gt;"", Keil_info!I24, "")</f>
        <v>#include "kdrv_gdma.h"</v>
      </c>
      <c r="I246" s="118" t="str">
        <f>IF(Keil_info!J24&lt;&gt;"", Keil_info!J24, "")</f>
        <v/>
      </c>
    </row>
    <row r="247" spans="2:9" hidden="1" x14ac:dyDescent="0.25">
      <c r="B247" s="116" t="str">
        <f>IF(Keil_info!C25&lt;&gt;"", Keil_info!C25, "")</f>
        <v>SUPPORT_GPIO_ENABLE</v>
      </c>
      <c r="C247" s="117" t="str">
        <f>IF(Keil_info!D25&lt;&gt;"", Keil_info!D25, "")</f>
        <v>kdrv_clock.c,kdrv_system.c,kdrv_power.c,kdrv_gpio.c,kdrv_pinmux.c</v>
      </c>
      <c r="D247" s="136" t="str">
        <f>IF(Keil_info!E25&lt;&gt;"", Keil_info!E25, "")</f>
        <v/>
      </c>
      <c r="E247" s="117" t="str">
        <f>IF(Keil_info!F25&lt;&gt;"", Keil_info!F25, "")</f>
        <v/>
      </c>
      <c r="F247" s="117" t="str">
        <f>IF(Keil_info!G25&lt;&gt;"", Keil_info!G25, "")</f>
        <v>..\..\..\..\..\firmware\platform\asic\kl720\scpu\drv\include;..\..\..\..\..\firmware\platform\asic\kl720\common;..\..\..\..\..\firmware\platform\asic\kl720\scpu\rtos\rtx\include;..\..\sn720ev_9x9;..\..\..\..\..\firmware\platform\board\board_sn720ev_9x9</v>
      </c>
      <c r="G247" s="117" t="str">
        <f>IF(Keil_info!H25&lt;&gt;"", Keil_info!H25, "")</f>
        <v>kdrv_gpio_initialize();</v>
      </c>
      <c r="H247" s="117" t="str">
        <f>IF(Keil_info!I25&lt;&gt;"", Keil_info!I25, "")</f>
        <v>#include "kdrv_gpio.h"</v>
      </c>
      <c r="I247" s="118" t="str">
        <f>IF(Keil_info!J25&lt;&gt;"", Keil_info!J25, "")</f>
        <v/>
      </c>
    </row>
    <row r="248" spans="2:9" hidden="1" x14ac:dyDescent="0.25">
      <c r="B248" s="116" t="str">
        <f>IF(Keil_info!C26&lt;&gt;"", Keil_info!C26, "")</f>
        <v>SUPPORT_PWM_ENABLE</v>
      </c>
      <c r="C248" s="117" t="str">
        <f>IF(Keil_info!D26&lt;&gt;"", Keil_info!D26, "")</f>
        <v>kdrv_clock.c,kdrv_system.c,kdrv_power.c,kdrv_pwm.c</v>
      </c>
      <c r="D248" s="136" t="str">
        <f>IF(Keil_info!E26&lt;&gt;"", Keil_info!E26, "")</f>
        <v/>
      </c>
      <c r="E248" s="117" t="str">
        <f>IF(Keil_info!F26&lt;&gt;"", Keil_info!F26, "")</f>
        <v/>
      </c>
      <c r="F248" s="117" t="str">
        <f>IF(Keil_info!G26&lt;&gt;"", Keil_info!G26, "")</f>
        <v>..\..\..\..\..\firmware\platform\asic\kl720\scpu\drv\include;..\..\..\..\..\firmware\platform\asic\kl720\common;..\..\..\..\..\firmware\platform\asic\kl720\scpu\rtos\rtx\include;..\..\sn720ev_9x9;..\..\..\..\..\firmware\platform\board\board_sn720ev_9x9</v>
      </c>
      <c r="G248" s="117" t="str">
        <f>IF(Keil_info!H26&lt;&gt;"", Keil_info!H26, "")</f>
        <v/>
      </c>
      <c r="H248" s="117" t="str">
        <f>IF(Keil_info!I26&lt;&gt;"", Keil_info!I26, "")</f>
        <v>#include "kdrv_pwm.h"</v>
      </c>
      <c r="I248" s="118" t="str">
        <f>IF(Keil_info!J26&lt;&gt;"", Keil_info!J26, "")</f>
        <v/>
      </c>
    </row>
    <row r="249" spans="2:9" hidden="1" x14ac:dyDescent="0.25">
      <c r="B249" s="116" t="str">
        <f>IF(Keil_info!C27&lt;&gt;"", Keil_info!C27, "")</f>
        <v>SUPPORT_SDC_ENABLE</v>
      </c>
      <c r="C249" s="117" t="str">
        <f>IF(Keil_info!D27&lt;&gt;"", Keil_info!D27, "")</f>
        <v>kdrv_clock.c,kdrv_system.c,kdrv_power.c,kdrv_sdc.c</v>
      </c>
      <c r="D249" s="136" t="str">
        <f>IF(Keil_info!E27&lt;&gt;"", Keil_info!E27, "")</f>
        <v/>
      </c>
      <c r="E249" s="117" t="str">
        <f>IF(Keil_info!F27&lt;&gt;"", Keil_info!F27, "")</f>
        <v/>
      </c>
      <c r="F249" s="117" t="str">
        <f>IF(Keil_info!G27&lt;&gt;"", Keil_info!G27, "")</f>
        <v>..\..\..\..\..\firmware\platform\asic\kl720\scpu\drv\include;..\..\..\..\..\firmware\platform\asic\kl720\common;..\..\..\..\..\firmware\platform\asic\kl720\scpu\rtos\rtx\include;..\..\sn720ev_9x9;..\..\..\..\..\firmware\platform\board\board_sn720ev_9x9</v>
      </c>
      <c r="G249" s="117" t="str">
        <f>IF(Keil_info!H27&lt;&gt;"", Keil_info!H27, "")</f>
        <v>kdrv_sdc_initialize();</v>
      </c>
      <c r="H249" s="117" t="str">
        <f>IF(Keil_info!I27&lt;&gt;"", Keil_info!I27, "")</f>
        <v>#include "kdrv_sdc.h"</v>
      </c>
      <c r="I249" s="118" t="str">
        <f>IF(Keil_info!J27&lt;&gt;"", Keil_info!J27, "")</f>
        <v/>
      </c>
    </row>
    <row r="250" spans="2:9" hidden="1" x14ac:dyDescent="0.25">
      <c r="B250" s="116" t="str">
        <f>IF(Keil_info!C28&lt;&gt;"", Keil_info!C28, "")</f>
        <v>SUPPORT_TIMER_ENABLE</v>
      </c>
      <c r="C250" s="117" t="str">
        <f>IF(Keil_info!D28&lt;&gt;"", Keil_info!D28, "")</f>
        <v>kdrv_clock.c,kdrv_system.c,kdrv_power.c,kdrv_timer.c</v>
      </c>
      <c r="D250" s="136" t="str">
        <f>IF(Keil_info!E28&lt;&gt;"", Keil_info!E28, "")</f>
        <v/>
      </c>
      <c r="E250" s="117" t="str">
        <f>IF(Keil_info!F28&lt;&gt;"", Keil_info!F28, "")</f>
        <v/>
      </c>
      <c r="F250" s="117" t="str">
        <f>IF(Keil_info!G28&lt;&gt;"", Keil_info!G28, "")</f>
        <v>..\..\..\..\..\firmware\platform\asic\kl720\scpu\drv\include;..\..\..\..\..\firmware\platform\asic\kl720\common;..\..\..\..\..\firmware\platform\asic\kl720\scpu\rtos\rtx\include;..\..\sn720ev_9x9;..\..\..\..\..\firmware\platform\board\board_sn720ev_9x9</v>
      </c>
      <c r="G250" s="117" t="str">
        <f>IF(Keil_info!H28&lt;&gt;"", Keil_info!H28, "")</f>
        <v>kdrv_timer_initialize();</v>
      </c>
      <c r="H250" s="117" t="str">
        <f>IF(Keil_info!I28&lt;&gt;"", Keil_info!I28, "")</f>
        <v>#include "kdrv_timer.h"</v>
      </c>
      <c r="I250" s="118" t="str">
        <f>IF(Keil_info!J28&lt;&gt;"", Keil_info!J28, "")</f>
        <v/>
      </c>
    </row>
    <row r="251" spans="2:9" hidden="1" x14ac:dyDescent="0.25">
      <c r="B251" s="116" t="str">
        <f>IF(Keil_info!C29&lt;&gt;"", Keil_info!C29, "")</f>
        <v>SUPPORT_USB_ENABLE</v>
      </c>
      <c r="C251" s="117" t="str">
        <f>IF(Keil_info!D29&lt;&gt;"", Keil_info!D29, "")</f>
        <v/>
      </c>
      <c r="D251" s="136" t="str">
        <f>IF(Keil_info!E29&lt;&gt;"", Keil_info!E29, "")</f>
        <v/>
      </c>
      <c r="E251" s="117" t="str">
        <f>IF(Keil_info!F29&lt;&gt;"", Keil_info!F29, "")</f>
        <v/>
      </c>
      <c r="F251" s="117" t="str">
        <f>IF(Keil_info!G29&lt;&gt;"", Keil_info!G29, "")</f>
        <v>..\..\..\..\..\firmware\platform\asic\kl720\scpu\drv\include;..\..\..\..\..\firmware\platform\asic\kl720\common;..\..\..\..\..\firmware\platform\asic\kl720\scpu\rtos\rtx\include;..\..\sn720ev_9x9;..\..\..\..\..\firmware\platform\board\board_sn720ev_9x9;..\..\..\..\..\..\mdw\include;..\..\..\..\..\..\platform\dev\include</v>
      </c>
      <c r="G251" s="117" t="str">
        <f>IF(Keil_info!H29&lt;&gt;"", Keil_info!H29, "")</f>
        <v/>
      </c>
      <c r="H251" s="117" t="str">
        <f>IF(Keil_info!I29&lt;&gt;"", Keil_info!I29, "")</f>
        <v/>
      </c>
      <c r="I251" s="118" t="str">
        <f>IF(Keil_info!J29&lt;&gt;"", Keil_info!J29, "")</f>
        <v/>
      </c>
    </row>
    <row r="252" spans="2:9" hidden="1" x14ac:dyDescent="0.25">
      <c r="B252" s="116" t="str">
        <f>IF(Keil_info!C30&lt;&gt;"", Keil_info!C30, "")</f>
        <v>SUPPORT_WDT_ENABLE</v>
      </c>
      <c r="C252" s="117" t="str">
        <f>IF(Keil_info!D30&lt;&gt;"", Keil_info!D30, "")</f>
        <v>kdrv_clock.c,kdrv_system.c,kdrv_power.c,kdrv_wdt.c</v>
      </c>
      <c r="D252" s="136" t="str">
        <f>IF(Keil_info!E30&lt;&gt;"", Keil_info!E30, "")</f>
        <v/>
      </c>
      <c r="E252" s="117" t="str">
        <f>IF(Keil_info!F30&lt;&gt;"", Keil_info!F30, "")</f>
        <v/>
      </c>
      <c r="F252" s="117" t="str">
        <f>IF(Keil_info!G30&lt;&gt;"", Keil_info!G30, "")</f>
        <v>..\..\..\..\..\firmware\platform\asic\kl720\scpu\drv\include;..\..\..\..\..\firmware\platform\asic\kl720\common;..\..\..\..\..\firmware\platform\asic\kl720\scpu\rtos\rtx\include;..\..\sn720ev_9x9;..\..\..\..\..\firmware\platform\board\board_sn720ev_9x9</v>
      </c>
      <c r="G252" s="117" t="str">
        <f>IF(Keil_info!H30&lt;&gt;"", Keil_info!H30, "")</f>
        <v/>
      </c>
      <c r="H252" s="117" t="str">
        <f>IF(Keil_info!I30&lt;&gt;"", Keil_info!I30, "")</f>
        <v>#include "kdrv_wdt.h"</v>
      </c>
      <c r="I252" s="118" t="str">
        <f>IF(Keil_info!J30&lt;&gt;"", Keil_info!J30, "")</f>
        <v/>
      </c>
    </row>
    <row r="253" spans="2:9" hidden="1" x14ac:dyDescent="0.25">
      <c r="B253" s="116" t="str">
        <f>IF(Keil_info!C31&lt;&gt;"", Keil_info!C31, "")</f>
        <v>SUPPORT_UART_CONSOLE_ENABLE</v>
      </c>
      <c r="C253" s="117" t="str">
        <f>IF(Keil_info!D31&lt;&gt;"", Keil_info!D31, "")</f>
        <v>kdrv_clock.c,kdrv_system.c,kdrv_power.c,kdrv_uart.c</v>
      </c>
      <c r="D253" s="136" t="str">
        <f>IF(Keil_info!E31&lt;&gt;"", Keil_info!E31, "")</f>
        <v/>
      </c>
      <c r="E253" s="117" t="str">
        <f>IF(Keil_info!F31&lt;&gt;"", Keil_info!F31, "")</f>
        <v/>
      </c>
      <c r="F253" s="117" t="str">
        <f>IF(Keil_info!G31&lt;&gt;"", Keil_info!G31, "")</f>
        <v>..\..\..\..\..\firmware\platform\asic\kl720\scpu\drv\include;..\..\..\..\..\firmware\platform\asic\kl720\common;..\..\..\..\..\firmware\platform\asic\kl720\scpu\rtos\rtx\include;..\..\sn720ev_9x9;..\..\..\..\..\firmware\platform\board\board_sn720ev_9x9</v>
      </c>
      <c r="G253" s="117" t="str">
        <f>IF(Keil_info!H31&lt;&gt;"", Keil_info!H31, "")</f>
        <v>kdrv_uart_initialize();,kmdw_console_init();</v>
      </c>
      <c r="H253" s="117" t="str">
        <f>IF(Keil_info!I31&lt;&gt;"", Keil_info!I31, "")</f>
        <v>#include "kmdw_console.h"</v>
      </c>
      <c r="I253" s="118" t="str">
        <f>IF(Keil_info!J31&lt;&gt;"", Keil_info!J31, "")</f>
        <v/>
      </c>
    </row>
    <row r="254" spans="2:9" hidden="1" x14ac:dyDescent="0.25">
      <c r="B254" s="116" t="str">
        <f>IF(Keil_info!C32&lt;&gt;"", Keil_info!C32, "")</f>
        <v>DISPLAY_DEVICE_LCDC</v>
      </c>
      <c r="C254" s="117" t="str">
        <f>IF(Keil_info!D32&lt;&gt;"", Keil_info!D32, "")</f>
        <v>kdrv_lcdc.c</v>
      </c>
      <c r="D254" s="136" t="str">
        <f>IF(Keil_info!E32&lt;&gt;"", Keil_info!E32, "")</f>
        <v/>
      </c>
      <c r="E254" s="117" t="str">
        <f>IF(Keil_info!F32&lt;&gt;"", Keil_info!F32, "")</f>
        <v/>
      </c>
      <c r="F254" s="117" t="str">
        <f>IF(Keil_info!G32&lt;&gt;"", Keil_info!G32, "")</f>
        <v>..\..\..\..\..\firmware\platform\asic\kl720\scpu\drv\include;..\..\..\..\..\firmware\platform\asic\kl720\common;..\..\..\..\..\firmware\platform\asic\kl720\scpu\rtos\rtx\include;..\..\sn720ev_9x9;..\..\..\..\..\firmware\platform\board\board_sn720ev_9x9</v>
      </c>
      <c r="G254" s="117" t="str">
        <f>IF(Keil_info!H32&lt;&gt;"", Keil_info!H32, "")</f>
        <v>kmdw_display_initialize();</v>
      </c>
      <c r="H254" s="117" t="str">
        <f>IF(Keil_info!I32&lt;&gt;"", Keil_info!I32, "")</f>
        <v>#include "kmdw_display.h"</v>
      </c>
      <c r="I254" s="118" t="str">
        <f>IF(Keil_info!J32&lt;&gt;"", Keil_info!J32, "")</f>
        <v/>
      </c>
    </row>
    <row r="255" spans="2:9" hidden="1" x14ac:dyDescent="0.25">
      <c r="B255" s="116" t="str">
        <f>IF(Keil_info!C33&lt;&gt;"", Keil_info!C33, "")</f>
        <v>DISPLAY_DEVICE_LCM</v>
      </c>
      <c r="C255" s="117" t="str">
        <f>IF(Keil_info!D33&lt;&gt;"", Keil_info!D33, "")</f>
        <v>kdrv_lcm.c</v>
      </c>
      <c r="D255" s="136" t="str">
        <f>IF(Keil_info!E33&lt;&gt;"", Keil_info!E33, "")</f>
        <v/>
      </c>
      <c r="E255" s="117" t="str">
        <f>IF(Keil_info!F33&lt;&gt;"", Keil_info!F33, "")</f>
        <v/>
      </c>
      <c r="F255" s="117" t="str">
        <f>IF(Keil_info!G33&lt;&gt;"", Keil_info!G33, "")</f>
        <v>..\..\..\..\..\firmware\platform\asic\kl720\scpu\drv\include;..\..\..\..\..\firmware\platform\asic\kl720\common;..\..\..\..\..\firmware\platform\asic\kl720\scpu\rtos\rtx\include;..\..\sn720ev_9x9;..\..\..\..\..\firmware\platform\board\board_sn720ev_9x9</v>
      </c>
      <c r="G255" s="117" t="str">
        <f>IF(Keil_info!H33&lt;&gt;"", Keil_info!H33, "")</f>
        <v>kmdw_display_initialize();</v>
      </c>
      <c r="H255" s="117" t="str">
        <f>IF(Keil_info!I33&lt;&gt;"", Keil_info!I33, "")</f>
        <v>#include "kmdw_display.h"</v>
      </c>
      <c r="I255" s="118" t="str">
        <f>IF(Keil_info!J33&lt;&gt;"", Keil_info!J33, "")</f>
        <v/>
      </c>
    </row>
    <row r="256" spans="2:9" hidden="1" x14ac:dyDescent="0.25">
      <c r="B256" s="116" t="str">
        <f>IF(Keil_info!C34&lt;&gt;"", Keil_info!C34, "")</f>
        <v>DISPLAY_PANEL_MZT_480X272</v>
      </c>
      <c r="C256" s="117" t="str">
        <f>IF(Keil_info!D34&lt;&gt;"", Keil_info!D34, "")</f>
        <v/>
      </c>
      <c r="D256" s="136" t="str">
        <f>IF(Keil_info!E34&lt;&gt;"", Keil_info!E34, "")</f>
        <v>kdev_mzt_480x272.c</v>
      </c>
      <c r="E256" s="117" t="str">
        <f>IF(Keil_info!F34&lt;&gt;"", Keil_info!F34, "")</f>
        <v/>
      </c>
      <c r="F256" s="117" t="str">
        <f>IF(Keil_info!G34&lt;&gt;"", Keil_info!G34, "")</f>
        <v>..\..\..\..\..\firmware\platform\asic\kl720\scpu\drv\include;..\..\..\..\..\firmware\platform\asic\kl720\common;..\..\..\..\..\firmware\platform\asic\kl720\scpu\rtos\rtx\include;..\..\sn720ev_9x9;..\..\..\..\..\firmware\platform\board\board_sn720ev_9x9;..\..\..\..\..\..\platform\dev\include</v>
      </c>
      <c r="G256" s="117" t="str">
        <f>IF(Keil_info!H34&lt;&gt;"", Keil_info!H34, "")</f>
        <v/>
      </c>
      <c r="H256" s="117" t="str">
        <f>IF(Keil_info!I34&lt;&gt;"", Keil_info!I34, "")</f>
        <v>#include "kmdw_display.h"</v>
      </c>
      <c r="I256" s="118" t="str">
        <f>IF(Keil_info!J34&lt;&gt;"", Keil_info!J34, "")</f>
        <v/>
      </c>
    </row>
    <row r="257" spans="2:9" hidden="1" x14ac:dyDescent="0.25">
      <c r="B257" s="116" t="str">
        <f>IF(Keil_info!C35&lt;&gt;"", Keil_info!C35, "")</f>
        <v>DISPLAY_PANEL_ST7789_240X320</v>
      </c>
      <c r="C257" s="117" t="str">
        <f>IF(Keil_info!D35&lt;&gt;"", Keil_info!D35, "")</f>
        <v/>
      </c>
      <c r="D257" s="136" t="str">
        <f>IF(Keil_info!E35&lt;&gt;"", Keil_info!E35, "")</f>
        <v xml:space="preserve">kdev_st7789_240x320.c </v>
      </c>
      <c r="E257" s="117" t="str">
        <f>IF(Keil_info!F35&lt;&gt;"", Keil_info!F35, "")</f>
        <v/>
      </c>
      <c r="F257" s="117" t="str">
        <f>IF(Keil_info!G35&lt;&gt;"", Keil_info!G35, "")</f>
        <v>..\..\..\..\..\firmware\platform\asic\kl720\scpu\drv\include;..\..\..\..\..\firmware\platform\asic\kl720\common;..\..\..\..\..\firmware\platform\asic\kl720\scpu\rtos\rtx\include;..\..\sn720ev_9x9;..\..\..\..\..\firmware\platform\board\board_sn720ev_9x9;..\..\..\..\..\..\platform\dev\include</v>
      </c>
      <c r="G257" s="117" t="str">
        <f>IF(Keil_info!H35&lt;&gt;"", Keil_info!H35, "")</f>
        <v/>
      </c>
      <c r="H257" s="117" t="str">
        <f>IF(Keil_info!I35&lt;&gt;"", Keil_info!I35, "")</f>
        <v>#include "kmdw_display.h"</v>
      </c>
      <c r="I257" s="118" t="str">
        <f>IF(Keil_info!J35&lt;&gt;"", Keil_info!J35, "")</f>
        <v/>
      </c>
    </row>
    <row r="258" spans="2:9" hidden="1" x14ac:dyDescent="0.25">
      <c r="B258" s="116" t="str">
        <f>IF(Keil_info!C36&lt;&gt;"", Keil_info!C36, "")</f>
        <v>COMM_SUPPORT_I2C</v>
      </c>
      <c r="C258" s="117" t="str">
        <f>IF(Keil_info!D36&lt;&gt;"", Keil_info!D36, "")</f>
        <v>kdrv_i2c.c</v>
      </c>
      <c r="D258" s="136" t="str">
        <f>IF(Keil_info!E36&lt;&gt;"", Keil_info!E36, "")</f>
        <v/>
      </c>
      <c r="E258" s="117" t="str">
        <f>IF(Keil_info!F36&lt;&gt;"", Keil_info!F36, "")</f>
        <v/>
      </c>
      <c r="F258" s="117" t="str">
        <f>IF(Keil_info!G36&lt;&gt;"", Keil_info!G36, "")</f>
        <v>..\..\..\..\..\firmware\platform\asic\kl720\scpu\drv\include;..\..\..\..\..\firmware\platform\asic\kl720\common;..\..\..\..\..\firmware\platform\asic\kl720\scpu\rtos\rtx\include;..\..\sn720ev_9x9;..\..\..\..\..\firmware\platform\board\board_sn720ev_9x9</v>
      </c>
      <c r="G258" s="117" t="str">
        <f>IF(Keil_info!H36&lt;&gt;"", Keil_info!H36, "")</f>
        <v>kdrv_i2c_initialize();</v>
      </c>
      <c r="H258" s="117" t="str">
        <f>IF(Keil_info!I36&lt;&gt;"", Keil_info!I36, "")</f>
        <v>#include "kdrv_i2c.h"</v>
      </c>
      <c r="I258" s="118" t="str">
        <f>IF(Keil_info!J36&lt;&gt;"", Keil_info!J36, "")</f>
        <v/>
      </c>
    </row>
    <row r="259" spans="2:9" hidden="1" x14ac:dyDescent="0.25">
      <c r="B259" s="116" t="str">
        <f>IF(Keil_info!C37&lt;&gt;"", Keil_info!C37, "")</f>
        <v>COMM_SUPPORT_SPI</v>
      </c>
      <c r="C259" s="117" t="str">
        <f>IF(Keil_info!D37&lt;&gt;"", Keil_info!D37, "")</f>
        <v>kdrv_spi.c</v>
      </c>
      <c r="D259" s="136" t="str">
        <f>IF(Keil_info!E37&lt;&gt;"", Keil_info!E37, "")</f>
        <v/>
      </c>
      <c r="E259" s="117" t="str">
        <f>IF(Keil_info!F37&lt;&gt;"", Keil_info!F37, "")</f>
        <v/>
      </c>
      <c r="F259" s="117" t="str">
        <f>IF(Keil_info!G37&lt;&gt;"", Keil_info!G37, "")</f>
        <v>..\..\..\..\..\firmware\platform\asic\kl720\scpu\drv\include;..\..\..\..\..\firmware\platform\asic\kl720\common;..\..\..\..\..\firmware\platform\asic\kl720\scpu\rtos\rtx\include;..\..\sn720ev_9x9;..\..\..\..\..\firmware\platform\board\board_sn720ev_9x9</v>
      </c>
      <c r="G259" s="117" t="str">
        <f>IF(Keil_info!H37&lt;&gt;"", Keil_info!H37, "")</f>
        <v>kdrv_spi_initialize();</v>
      </c>
      <c r="H259" s="117" t="str">
        <f>IF(Keil_info!I37&lt;&gt;"", Keil_info!I37, "")</f>
        <v>#include "kdrv_spi.h"</v>
      </c>
      <c r="I259" s="118" t="str">
        <f>IF(Keil_info!J37&lt;&gt;"", Keil_info!J37, "")</f>
        <v/>
      </c>
    </row>
    <row r="260" spans="2:9" ht="16.5" hidden="1" thickBot="1" x14ac:dyDescent="0.3">
      <c r="B260" s="119" t="str">
        <f>IF(Keil_info!C38&lt;&gt;"", Keil_info!C38, "")</f>
        <v>SUPPORT_UART_CONSOLE_ENABLE</v>
      </c>
      <c r="C260" s="120" t="str">
        <f>IF(Keil_info!D38&lt;&gt;"", Keil_info!D38, "")</f>
        <v>kdrv_uart.c</v>
      </c>
      <c r="D260" s="137" t="str">
        <f>IF(Keil_info!E38&lt;&gt;"", Keil_info!E38, "")</f>
        <v/>
      </c>
      <c r="E260" s="120" t="str">
        <f>IF(Keil_info!F38&lt;&gt;"", Keil_info!F38, "")</f>
        <v>kmdw_console.c</v>
      </c>
      <c r="F260" s="120" t="str">
        <f>IF(Keil_info!G38&lt;&gt;"", Keil_info!G38, "")</f>
        <v>..\..\..\..\..\firmware\platform\asic\kl720\scpu\drv\include;..\..\..\..\..\firmware\platform\asic\kl720\common;..\..\..\..\..\firmware\platform\asic\kl720\scpu\rtos\rtx\include;..\..\sn720ev_9x9;..\..\..\..\..\firmware\platform\board\board_sn720ev_9x9;..\..\..\..\..\..\mdw\include</v>
      </c>
      <c r="G260" s="120" t="str">
        <f>IF(Keil_info!H38&lt;&gt;"", Keil_info!H38, "")</f>
        <v/>
      </c>
      <c r="H260" s="120" t="str">
        <f>IF(Keil_info!I38&lt;&gt;"", Keil_info!I38, "")</f>
        <v>#include "kdrv_uart.h"</v>
      </c>
      <c r="I260" s="121" t="str">
        <f>IF(Keil_info!J38&lt;&gt;"", Keil_info!J38, "")</f>
        <v/>
      </c>
    </row>
    <row r="261" spans="2:9" hidden="1" x14ac:dyDescent="0.25">
      <c r="D261" s="128"/>
    </row>
    <row r="262" spans="2:9" hidden="1" x14ac:dyDescent="0.25">
      <c r="D262" s="128"/>
    </row>
    <row r="263" spans="2:9" hidden="1" x14ac:dyDescent="0.25">
      <c r="D263" s="128"/>
    </row>
    <row r="264" spans="2:9" hidden="1" x14ac:dyDescent="0.25">
      <c r="D264" s="128"/>
    </row>
    <row r="265" spans="2:9" hidden="1" x14ac:dyDescent="0.25">
      <c r="D265" s="128"/>
    </row>
    <row r="266" spans="2:9" hidden="1" x14ac:dyDescent="0.25">
      <c r="D266" s="128"/>
    </row>
    <row r="267" spans="2:9" hidden="1" x14ac:dyDescent="0.25">
      <c r="D267" s="128"/>
    </row>
    <row r="268" spans="2:9" hidden="1" x14ac:dyDescent="0.25">
      <c r="D268" s="128"/>
    </row>
    <row r="269" spans="2:9" hidden="1" x14ac:dyDescent="0.25">
      <c r="D269" s="128"/>
    </row>
    <row r="270" spans="2:9" hidden="1" x14ac:dyDescent="0.25">
      <c r="D270" s="128"/>
    </row>
    <row r="271" spans="2:9" hidden="1" x14ac:dyDescent="0.25">
      <c r="D271" s="128"/>
    </row>
    <row r="272" spans="2:9" hidden="1" x14ac:dyDescent="0.25">
      <c r="D272" s="128"/>
    </row>
    <row r="273" spans="4:4" hidden="1" x14ac:dyDescent="0.25">
      <c r="D273" s="128"/>
    </row>
    <row r="274" spans="4:4" hidden="1" x14ac:dyDescent="0.25">
      <c r="D274" s="128"/>
    </row>
    <row r="275" spans="4:4" hidden="1" x14ac:dyDescent="0.25">
      <c r="D275" s="128"/>
    </row>
    <row r="276" spans="4:4" hidden="1" x14ac:dyDescent="0.25">
      <c r="D276" s="128"/>
    </row>
    <row r="277" spans="4:4" hidden="1" x14ac:dyDescent="0.25">
      <c r="D277" s="128"/>
    </row>
    <row r="278" spans="4:4" hidden="1" x14ac:dyDescent="0.25">
      <c r="D278" s="128"/>
    </row>
    <row r="279" spans="4:4" hidden="1" x14ac:dyDescent="0.25">
      <c r="D279" s="128"/>
    </row>
    <row r="280" spans="4:4" hidden="1" x14ac:dyDescent="0.25">
      <c r="D280" s="128"/>
    </row>
    <row r="281" spans="4:4" hidden="1" x14ac:dyDescent="0.25">
      <c r="D281" s="128"/>
    </row>
    <row r="282" spans="4:4" hidden="1" x14ac:dyDescent="0.25">
      <c r="D282" s="128"/>
    </row>
    <row r="283" spans="4:4" hidden="1" x14ac:dyDescent="0.25">
      <c r="D283" s="128"/>
    </row>
    <row r="284" spans="4:4" hidden="1" x14ac:dyDescent="0.25">
      <c r="D284" s="128"/>
    </row>
    <row r="285" spans="4:4" hidden="1" x14ac:dyDescent="0.25">
      <c r="D285" s="128"/>
    </row>
    <row r="286" spans="4:4" hidden="1" x14ac:dyDescent="0.25">
      <c r="D286" s="128"/>
    </row>
    <row r="287" spans="4:4" hidden="1" x14ac:dyDescent="0.25">
      <c r="D287" s="128"/>
    </row>
    <row r="288" spans="4:4" hidden="1" x14ac:dyDescent="0.25">
      <c r="D288" s="128"/>
    </row>
    <row r="289" spans="4:4" hidden="1" x14ac:dyDescent="0.25">
      <c r="D289" s="128"/>
    </row>
    <row r="290" spans="4:4" hidden="1" x14ac:dyDescent="0.25">
      <c r="D290" s="128"/>
    </row>
    <row r="291" spans="4:4" hidden="1" x14ac:dyDescent="0.25">
      <c r="D291" s="128"/>
    </row>
    <row r="292" spans="4:4" hidden="1" x14ac:dyDescent="0.25">
      <c r="D292" s="128"/>
    </row>
    <row r="293" spans="4:4" hidden="1" x14ac:dyDescent="0.25"/>
    <row r="294" spans="4:4" hidden="1" x14ac:dyDescent="0.25"/>
    <row r="295" spans="4:4" hidden="1" x14ac:dyDescent="0.25"/>
    <row r="296" spans="4:4" hidden="1" x14ac:dyDescent="0.25"/>
    <row r="297" spans="4:4" hidden="1" x14ac:dyDescent="0.25"/>
    <row r="298" spans="4:4" hidden="1" x14ac:dyDescent="0.25"/>
    <row r="299" spans="4:4" hidden="1" x14ac:dyDescent="0.25"/>
    <row r="300" spans="4:4" hidden="1" x14ac:dyDescent="0.25"/>
  </sheetData>
  <sheetProtection formatCells="0"/>
  <protectedRanges>
    <protectedRange sqref="C25:Y302 F2:DE2" name="範圍2"/>
    <protectedRange sqref="A1:XFD1 A3:XFD20 A2:E2 DF2:XFD2" name="範圍1"/>
  </protectedRanges>
  <dataConsolidate/>
  <phoneticPr fontId="1" type="noConversion"/>
  <conditionalFormatting sqref="D34:D54">
    <cfRule type="expression" dxfId="4" priority="1" stopIfTrue="1">
      <formula>AND(LEFT(D34, 7) = "SUPPORT", RIGHT(D34, 6) = "ENABLE")</formula>
    </cfRule>
  </conditionalFormatting>
  <dataValidations count="24">
    <dataValidation allowBlank="1" showInputMessage="1" showErrorMessage="1" sqref="F27:F28 D33 I34:I61 J34:J36 H41:H63 J49:J61 C31:C33 C64:C77 D64:F69 J41:J45 F41:F63 F34:F36 G34:G63 H34:H36 C34:C63 E34:E63 D55:D63" xr:uid="{D08E8781-8454-4805-893B-AAA16B363383}"/>
    <dataValidation type="list" allowBlank="1" showInputMessage="1" showErrorMessage="1" sqref="D78 D34" xr:uid="{65F71C60-B410-4581-9177-F5B31F0F68F5}">
      <formula1>DISPLAY_DEVICE_Range</formula1>
    </dataValidation>
    <dataValidation type="list" allowBlank="1" showInputMessage="1" showErrorMessage="1" sqref="D79 D35" xr:uid="{6FB7D948-CBAE-4F32-98C5-0B741D6CF159}">
      <formula1>DISPLAY_PANEL_Range</formula1>
    </dataValidation>
    <dataValidation type="list" allowBlank="1" showInputMessage="1" showErrorMessage="1" sqref="D80 D36" xr:uid="{D114AAB8-E883-49AA-BA24-ADD3ED9A3999}">
      <formula1>CFG_AI_Range</formula1>
    </dataValidation>
    <dataValidation type="list" allowBlank="1" showInputMessage="1" showErrorMessage="1" sqref="D81" xr:uid="{9C1E97D4-126B-4F40-9B59-EEE56E053739}">
      <formula1>CFG_SUPPORT_Range</formula1>
    </dataValidation>
    <dataValidation type="list" allowBlank="1" showInputMessage="1" showErrorMessage="1" sqref="D87 D84 D43" xr:uid="{406FCC55-60BA-4AA3-A191-F0E6D64F634D}">
      <formula1>FLASH_COMM_Range</formula1>
    </dataValidation>
    <dataValidation type="list" allowBlank="1" showInputMessage="1" showErrorMessage="1" sqref="D82 D41" xr:uid="{540E00A6-A44B-4A62-8F17-F4BCD2A0EED9}">
      <formula1>FLASH_TYPE_Range</formula1>
    </dataValidation>
    <dataValidation type="list" allowBlank="1" showInputMessage="1" showErrorMessage="1" sqref="D86 D83 D42" xr:uid="{A2D271A7-2949-495D-BC43-B21192363876}">
      <formula1>FLASH_SIZE_Range</formula1>
    </dataValidation>
    <dataValidation type="list" allowBlank="1" showInputMessage="1" showErrorMessage="1" sqref="D88 D85 D44" xr:uid="{DC4ABB71-F75C-4E7C-8DC1-D15DC132FEF4}">
      <formula1>FLASH_DRV_Range</formula1>
    </dataValidation>
    <dataValidation type="list" allowBlank="1" showInputMessage="1" showErrorMessage="1" sqref="L37 N37 L45 H37 J46 J37 F37 D37" xr:uid="{8330EF31-DFFF-439F-8B17-EA66BC3911B2}">
      <formula1>COMM_SUPPORT_Range</formula1>
    </dataValidation>
    <dataValidation type="list" allowBlank="1" showInputMessage="1" showErrorMessage="1" sqref="D45" xr:uid="{D1E8CD18-189F-4299-8990-A8DABDE1C15B}">
      <formula1>SUPPORT_ADC_Range</formula1>
    </dataValidation>
    <dataValidation type="list" allowBlank="1" showInputMessage="1" showErrorMessage="1" sqref="D70 D46" xr:uid="{BEA8FEA6-D3A8-4866-8C91-8761F76F6F09}">
      <formula1>SUPPORT_DDR_Range</formula1>
    </dataValidation>
    <dataValidation type="list" allowBlank="1" showInputMessage="1" showErrorMessage="1" sqref="D71 D47" xr:uid="{BA4C66F8-EDB7-48DD-A0C3-BEDA7335D0FE}">
      <formula1>SUPPORT_GDMA_Range</formula1>
    </dataValidation>
    <dataValidation type="list" allowBlank="1" showInputMessage="1" showErrorMessage="1" sqref="D72 D48" xr:uid="{42CF92BD-BD58-4279-832D-489D8236EDFA}">
      <formula1>SUPPORT_GPIO_Range</formula1>
    </dataValidation>
    <dataValidation type="list" allowBlank="1" showInputMessage="1" showErrorMessage="1" sqref="D73 D49" xr:uid="{5754F602-E34E-46DD-81C2-E2C5DD526951}">
      <formula1>SUPPORT_PWM_Range</formula1>
    </dataValidation>
    <dataValidation type="list" allowBlank="1" showInputMessage="1" showErrorMessage="1" sqref="D74 D50" xr:uid="{A28697D0-9A9A-4C9F-AA48-6454AF35070C}">
      <formula1>SUPPORT_SDC_Range</formula1>
    </dataValidation>
    <dataValidation type="list" allowBlank="1" showInputMessage="1" showErrorMessage="1" sqref="D75 D51" xr:uid="{A9536A23-2833-4E7E-8181-BA42F034C5FB}">
      <formula1>SUPPORT_TIMER_Range</formula1>
    </dataValidation>
    <dataValidation type="list" allowBlank="1" showInputMessage="1" showErrorMessage="1" sqref="D76 D52" xr:uid="{45041EC1-2874-4E6D-A7C3-72A45DFB7215}">
      <formula1>SUPPORT_USB_Range</formula1>
    </dataValidation>
    <dataValidation type="list" allowBlank="1" showInputMessage="1" showErrorMessage="1" sqref="D77 D53" xr:uid="{33ED1D54-D23A-4DC2-AC98-A9F945929F65}">
      <formula1>SUPPORT_WDT_Range</formula1>
    </dataValidation>
    <dataValidation type="list" allowBlank="1" showInputMessage="1" showErrorMessage="1" sqref="D32" xr:uid="{F364C1D4-7075-4B15-B3E3-2A064B194BB7}">
      <formula1>"1,2,3,4,5,6,7"</formula1>
    </dataValidation>
    <dataValidation type="list" allowBlank="1" showInputMessage="1" showErrorMessage="1" sqref="D54" xr:uid="{279DFC3F-0496-4466-89BF-FE733BE6E7B6}">
      <formula1>SUPPORT_UART_Range</formula1>
    </dataValidation>
    <dataValidation type="list" allowBlank="1" showInputMessage="1" showErrorMessage="1" sqref="H39 J48 J39 F39 D39" xr:uid="{527239CF-E178-436B-A5B3-8BFD1B71BD00}">
      <formula1>COMM_I2CSPEED_Range</formula1>
    </dataValidation>
    <dataValidation type="list" allowBlank="1" showInputMessage="1" showErrorMessage="1" sqref="H38 J47 J38 F38 D38" xr:uid="{75EC0BD3-4E6D-43D8-829B-5CFF08390073}">
      <formula1>COMM_PORT_Range</formula1>
    </dataValidation>
    <dataValidation type="list" allowBlank="1" showInputMessage="1" showErrorMessage="1" sqref="J40 F40 H40 D40" xr:uid="{DA71C003-4B89-4466-A691-FF7902D068D6}">
      <formula1>COMM_SPIMODE_Range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oard_droplist">
              <controlPr defaultSize="0" autoLine="0" autoPict="0" macro="[0]!Board_Dropdownlist_Change">
                <anchor moveWithCells="1">
                  <from>
                    <xdr:col>2</xdr:col>
                    <xdr:colOff>19050</xdr:colOff>
                    <xdr:row>25</xdr:row>
                    <xdr:rowOff>200025</xdr:rowOff>
                  </from>
                  <to>
                    <xdr:col>2</xdr:col>
                    <xdr:colOff>2533650</xdr:colOff>
                    <xdr:row>26</xdr:row>
                    <xdr:rowOff>180975</xdr:rowOff>
                  </to>
                </anchor>
              </controlPr>
            </control>
          </mc:Choice>
        </mc:AlternateContent>
        <mc:AlternateContent xmlns:mc="http://schemas.openxmlformats.org/markup-compatibility/2006">
          <mc:Choice Requires="x14">
            <control shapeId="3075" r:id="rId5" name="AsicDropList">
              <controlPr defaultSize="0" autoLine="0" autoPict="0" macro="[0]!Asic_Dropdownlist_Change">
                <anchor moveWithCells="1">
                  <from>
                    <xdr:col>2</xdr:col>
                    <xdr:colOff>19050</xdr:colOff>
                    <xdr:row>25</xdr:row>
                    <xdr:rowOff>9525</xdr:rowOff>
                  </from>
                  <to>
                    <xdr:col>2</xdr:col>
                    <xdr:colOff>2533650</xdr:colOff>
                    <xdr:row>25</xdr:row>
                    <xdr:rowOff>190500</xdr:rowOff>
                  </to>
                </anchor>
              </controlPr>
            </control>
          </mc:Choice>
        </mc:AlternateContent>
        <mc:AlternateContent xmlns:mc="http://schemas.openxmlformats.org/markup-compatibility/2006">
          <mc:Choice Requires="x14">
            <control shapeId="3091" r:id="rId6" name="Button 19">
              <controlPr defaultSize="0" print="0" autoFill="0" autoPict="0" macro="[0]!export_board_config">
                <anchor moveWithCells="1" sizeWithCells="1">
                  <from>
                    <xdr:col>0</xdr:col>
                    <xdr:colOff>647700</xdr:colOff>
                    <xdr:row>21</xdr:row>
                    <xdr:rowOff>180975</xdr:rowOff>
                  </from>
                  <to>
                    <xdr:col>1</xdr:col>
                    <xdr:colOff>1400175</xdr:colOff>
                    <xdr:row>23</xdr:row>
                    <xdr:rowOff>133350</xdr:rowOff>
                  </to>
                </anchor>
              </controlPr>
            </control>
          </mc:Choice>
        </mc:AlternateContent>
        <mc:AlternateContent xmlns:mc="http://schemas.openxmlformats.org/markup-compatibility/2006">
          <mc:Choice Requires="x14">
            <control shapeId="3102" r:id="rId7" name="Button 30">
              <controlPr defaultSize="0" print="0" autoFill="0" autoPict="0" macro="[0]!export_keil_file">
                <anchor moveWithCells="1" sizeWithCells="1">
                  <from>
                    <xdr:col>1</xdr:col>
                    <xdr:colOff>1847850</xdr:colOff>
                    <xdr:row>21</xdr:row>
                    <xdr:rowOff>180975</xdr:rowOff>
                  </from>
                  <to>
                    <xdr:col>2</xdr:col>
                    <xdr:colOff>1343025</xdr:colOff>
                    <xdr:row>23</xdr:row>
                    <xdr:rowOff>133350</xdr:rowOff>
                  </to>
                </anchor>
              </controlPr>
            </control>
          </mc:Choice>
        </mc:AlternateContent>
        <mc:AlternateContent xmlns:mc="http://schemas.openxmlformats.org/markup-compatibility/2006">
          <mc:Choice Requires="x14">
            <control shapeId="3109" r:id="rId8" name="Button 37">
              <controlPr defaultSize="0" print="0" autoFill="0" autoPict="0" macro="[0]!export_board_and_keil_file">
                <anchor moveWithCells="1" sizeWithCells="1">
                  <from>
                    <xdr:col>3</xdr:col>
                    <xdr:colOff>133350</xdr:colOff>
                    <xdr:row>21</xdr:row>
                    <xdr:rowOff>180975</xdr:rowOff>
                  </from>
                  <to>
                    <xdr:col>3</xdr:col>
                    <xdr:colOff>1571625</xdr:colOff>
                    <xdr:row>23</xdr:row>
                    <xdr:rowOff>133350</xdr:rowOff>
                  </to>
                </anchor>
              </controlPr>
            </control>
          </mc:Choice>
        </mc:AlternateContent>
        <mc:AlternateContent xmlns:mc="http://schemas.openxmlformats.org/markup-compatibility/2006">
          <mc:Choice Requires="x14">
            <control shapeId="3133" r:id="rId9" name="Button 61">
              <controlPr defaultSize="0" print="0" autoFill="0" autoPict="0" macro="[0]!deletespecificfolder">
                <anchor moveWithCells="1" sizeWithCells="1">
                  <from>
                    <xdr:col>2</xdr:col>
                    <xdr:colOff>2543175</xdr:colOff>
                    <xdr:row>25</xdr:row>
                    <xdr:rowOff>190500</xdr:rowOff>
                  </from>
                  <to>
                    <xdr:col>2</xdr:col>
                    <xdr:colOff>3438525</xdr:colOff>
                    <xdr:row>26</xdr:row>
                    <xdr:rowOff>190500</xdr:rowOff>
                  </to>
                </anchor>
              </controlPr>
            </control>
          </mc:Choice>
        </mc:AlternateContent>
        <mc:AlternateContent xmlns:mc="http://schemas.openxmlformats.org/markup-compatibility/2006">
          <mc:Choice Requires="x14">
            <control shapeId="3138" r:id="rId10" name="Button 66">
              <controlPr defaultSize="0" print="0" autoFill="0" autoPict="0" macro="[0]!export_drvinit_code">
                <anchor moveWithCells="1" sizeWithCells="1">
                  <from>
                    <xdr:col>2</xdr:col>
                    <xdr:colOff>1781175</xdr:colOff>
                    <xdr:row>21</xdr:row>
                    <xdr:rowOff>180975</xdr:rowOff>
                  </from>
                  <to>
                    <xdr:col>2</xdr:col>
                    <xdr:colOff>3228975</xdr:colOff>
                    <xdr:row>23</xdr:row>
                    <xdr:rowOff>133350</xdr:rowOff>
                  </to>
                </anchor>
              </controlPr>
            </control>
          </mc:Choice>
        </mc:AlternateContent>
        <mc:AlternateContent xmlns:mc="http://schemas.openxmlformats.org/markup-compatibility/2006">
          <mc:Choice Requires="x14">
            <control shapeId="3145" r:id="rId11" name="Button 73">
              <controlPr defaultSize="0" print="0" autoFill="0" autoPict="0" macro="[0]!ReadProjectPath">
                <anchor moveWithCells="1" sizeWithCells="1">
                  <from>
                    <xdr:col>0</xdr:col>
                    <xdr:colOff>647700</xdr:colOff>
                    <xdr:row>19</xdr:row>
                    <xdr:rowOff>133350</xdr:rowOff>
                  </from>
                  <to>
                    <xdr:col>1</xdr:col>
                    <xdr:colOff>1400175</xdr:colOff>
                    <xdr:row>21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11D3E-0CF1-4E29-B03C-78800C70512C}">
  <sheetPr codeName="工作表10"/>
  <dimension ref="B1:AO318"/>
  <sheetViews>
    <sheetView tabSelected="1" zoomScale="70" zoomScaleNormal="70" workbookViewId="0">
      <pane xSplit="12" ySplit="6" topLeftCell="M7" activePane="bottomRight" state="frozen"/>
      <selection pane="topRight" activeCell="M1" sqref="M1"/>
      <selection pane="bottomLeft" activeCell="A7" sqref="A7"/>
      <selection pane="bottomRight" activeCell="L35" sqref="L35"/>
    </sheetView>
  </sheetViews>
  <sheetFormatPr defaultRowHeight="16.5" outlineLevelRow="1" outlineLevelCol="1" x14ac:dyDescent="0.25"/>
  <cols>
    <col min="1" max="1" width="9" style="1"/>
    <col min="2" max="2" width="10.125" style="1" bestFit="1" customWidth="1"/>
    <col min="3" max="3" width="18" style="1" hidden="1" customWidth="1"/>
    <col min="4" max="4" width="18" style="1" customWidth="1"/>
    <col min="5" max="5" width="17.625" style="1" customWidth="1"/>
    <col min="6" max="6" width="30.25" style="1" customWidth="1"/>
    <col min="7" max="7" width="10.375" style="1" customWidth="1"/>
    <col min="8" max="8" width="14.375" style="1" customWidth="1"/>
    <col min="9" max="9" width="18.375" style="1" bestFit="1" customWidth="1"/>
    <col min="10" max="10" width="21.375" style="1" bestFit="1" customWidth="1"/>
    <col min="11" max="11" width="3" style="1" customWidth="1"/>
    <col min="12" max="12" width="11.25" style="1" customWidth="1"/>
    <col min="13" max="13" width="21.375" style="1" customWidth="1"/>
    <col min="14" max="14" width="21.375" style="1" hidden="1" customWidth="1"/>
    <col min="15" max="16" width="21.375" style="1" customWidth="1"/>
    <col min="17" max="17" width="6.625" style="1" customWidth="1"/>
    <col min="18" max="20" width="21.375" style="1" customWidth="1" outlineLevel="1"/>
    <col min="21" max="21" width="47.875" style="1" customWidth="1" outlineLevel="1"/>
    <col min="22" max="23" width="8.625" style="1" customWidth="1" outlineLevel="1"/>
    <col min="24" max="24" width="22.375" style="1" customWidth="1"/>
    <col min="25" max="25" width="8.625" style="1" customWidth="1"/>
    <col min="26" max="26" width="12.375" style="1" customWidth="1"/>
    <col min="27" max="27" width="7" style="1" customWidth="1"/>
    <col min="28" max="28" width="12.375" style="1" customWidth="1"/>
    <col min="29" max="29" width="7" style="1" customWidth="1"/>
    <col min="30" max="30" width="12.375" style="1" customWidth="1"/>
    <col min="31" max="31" width="7" style="1" customWidth="1"/>
    <col min="32" max="32" width="12.375" style="1" customWidth="1"/>
    <col min="33" max="33" width="7" style="1" customWidth="1"/>
    <col min="34" max="34" width="12.375" style="1" customWidth="1"/>
    <col min="35" max="35" width="7" style="1" customWidth="1"/>
    <col min="36" max="36" width="12.375" style="1" customWidth="1"/>
    <col min="37" max="37" width="7" style="1" customWidth="1"/>
    <col min="38" max="38" width="12.375" style="1" customWidth="1"/>
    <col min="39" max="39" width="7" style="1" customWidth="1"/>
    <col min="40" max="40" width="12.375" style="1" customWidth="1"/>
    <col min="41" max="41" width="7" style="1" customWidth="1"/>
    <col min="42" max="16384" width="9" style="1"/>
  </cols>
  <sheetData>
    <row r="1" spans="2:41" x14ac:dyDescent="0.25">
      <c r="B1" s="1" t="str">
        <f ca="1">INFO("DIRECTORY")</f>
        <v>D:\Kneron_data\Source\GitLab\beethoven_sw_4\firmware\build\solution_companion\sn72096_9x9\scpu_keil\</v>
      </c>
    </row>
    <row r="2" spans="2:41" ht="17.25" thickBot="1" x14ac:dyDescent="0.3"/>
    <row r="3" spans="2:41" x14ac:dyDescent="0.25">
      <c r="H3" s="143" t="s">
        <v>79</v>
      </c>
      <c r="I3" s="144"/>
      <c r="J3" s="144"/>
      <c r="K3" s="95"/>
      <c r="L3" s="147" t="s">
        <v>69</v>
      </c>
      <c r="M3" s="148"/>
      <c r="N3" s="148"/>
      <c r="O3" s="148"/>
      <c r="P3" s="149"/>
    </row>
    <row r="4" spans="2:41" ht="17.25" thickBot="1" x14ac:dyDescent="0.3">
      <c r="B4" s="1">
        <f>COUNTA(B6:B102)</f>
        <v>92</v>
      </c>
      <c r="H4" s="145"/>
      <c r="I4" s="146"/>
      <c r="J4" s="146"/>
      <c r="K4" s="95"/>
      <c r="L4" s="99" t="s">
        <v>334</v>
      </c>
      <c r="M4" s="100" t="str">
        <f>L107</f>
        <v>Output</v>
      </c>
      <c r="N4" s="150" t="str">
        <f>L106</f>
        <v>Input</v>
      </c>
      <c r="O4" s="151"/>
      <c r="P4" s="152"/>
    </row>
    <row r="5" spans="2:41" ht="47.25" x14ac:dyDescent="0.25">
      <c r="B5" s="5" t="s">
        <v>238</v>
      </c>
      <c r="C5" s="6" t="s">
        <v>0</v>
      </c>
      <c r="D5" s="6" t="s">
        <v>64</v>
      </c>
      <c r="E5" s="6" t="s">
        <v>1</v>
      </c>
      <c r="F5" s="6" t="s">
        <v>65</v>
      </c>
      <c r="G5" s="6" t="s">
        <v>325</v>
      </c>
      <c r="H5" s="22" t="s">
        <v>2</v>
      </c>
      <c r="I5" s="6" t="s">
        <v>3</v>
      </c>
      <c r="J5" s="22" t="s">
        <v>4</v>
      </c>
      <c r="K5" s="95"/>
      <c r="L5" s="96" t="s">
        <v>70</v>
      </c>
      <c r="M5" s="97" t="s">
        <v>425</v>
      </c>
      <c r="N5" s="97" t="s">
        <v>71</v>
      </c>
      <c r="O5" s="97" t="s">
        <v>495</v>
      </c>
      <c r="P5" s="98" t="s">
        <v>494</v>
      </c>
      <c r="R5" s="17" t="s">
        <v>232</v>
      </c>
      <c r="S5" s="18" t="s">
        <v>92</v>
      </c>
      <c r="T5" s="18" t="s">
        <v>62</v>
      </c>
      <c r="U5" s="19" t="s">
        <v>63</v>
      </c>
      <c r="Z5" s="2" t="s">
        <v>5</v>
      </c>
      <c r="AA5" s="3" t="s">
        <v>6</v>
      </c>
      <c r="AB5" s="3" t="s">
        <v>7</v>
      </c>
      <c r="AC5" s="3" t="s">
        <v>6</v>
      </c>
      <c r="AD5" s="3" t="s">
        <v>8</v>
      </c>
      <c r="AE5" s="3" t="s">
        <v>6</v>
      </c>
      <c r="AF5" s="3" t="s">
        <v>9</v>
      </c>
      <c r="AG5" s="3" t="s">
        <v>6</v>
      </c>
      <c r="AH5" s="3" t="s">
        <v>10</v>
      </c>
      <c r="AI5" s="3" t="s">
        <v>6</v>
      </c>
      <c r="AJ5" s="3" t="s">
        <v>11</v>
      </c>
      <c r="AK5" s="3" t="s">
        <v>6</v>
      </c>
      <c r="AL5" s="3" t="s">
        <v>12</v>
      </c>
      <c r="AM5" s="3" t="s">
        <v>6</v>
      </c>
      <c r="AN5" s="3" t="s">
        <v>95</v>
      </c>
      <c r="AO5" s="4" t="s">
        <v>6</v>
      </c>
    </row>
    <row r="6" spans="2:41" x14ac:dyDescent="0.2">
      <c r="B6" s="10" t="s">
        <v>91</v>
      </c>
      <c r="C6" s="11" t="s">
        <v>13</v>
      </c>
      <c r="D6" s="12" t="s">
        <v>93</v>
      </c>
      <c r="E6" s="71" t="s">
        <v>94</v>
      </c>
      <c r="F6" s="11" t="s">
        <v>337</v>
      </c>
      <c r="G6" s="11" t="s">
        <v>321</v>
      </c>
      <c r="H6" s="7" t="s">
        <v>18</v>
      </c>
      <c r="I6" s="7" t="s">
        <v>14</v>
      </c>
      <c r="J6" s="24" t="s">
        <v>15</v>
      </c>
      <c r="K6" s="95"/>
      <c r="L6" s="93" t="s">
        <v>78</v>
      </c>
      <c r="M6" s="23" t="s">
        <v>235</v>
      </c>
      <c r="N6" s="7" t="s">
        <v>236</v>
      </c>
      <c r="O6" s="7" t="s">
        <v>429</v>
      </c>
      <c r="P6" s="9" t="s">
        <v>432</v>
      </c>
      <c r="R6" s="20" t="str">
        <f>IF(J6 = $J$109, "11", IF(J6 = $J$108, "10", IF(J6 = $J$107, "01", IF(J6 = $J$106, "00", ""))))</f>
        <v>10</v>
      </c>
      <c r="S6" s="7" t="str">
        <f>IF(I6=$I$108,"10",IF(I6=$I$107,"01","00"))</f>
        <v>00</v>
      </c>
      <c r="T6" s="7" t="str">
        <f>IF(H6=$H$106,"000",IF(H6=$H$107,"001",IF(H6=$H$108,"010",IF(H6=$H$109,"011",IF(H6=$H$110,"100",IF(H6=$H$111,"101",IF(H6=$H$112,"110",IF(H6=$H$113,"111",""))))))))</f>
        <v>000</v>
      </c>
      <c r="U6" s="9" t="str">
        <f t="shared" ref="U6:U38" si="0">"//0x"&amp;DEC2HEX(BIN2DEC(R6)*2^21+BIN2DEC(S6)*2^16+BIN2DEC(T6),8)&amp;"   Pinmode:"&amp;Pinmode</f>
        <v>//0x00400000   Pinmode:SPI_CS_N</v>
      </c>
      <c r="W6" s="1">
        <f>BIN2DEC(T6)</f>
        <v>0</v>
      </c>
      <c r="X6" s="1" t="str">
        <f>INDEX(Z6:AO6, 1,1+W6*2)</f>
        <v>SPI_CS_N</v>
      </c>
      <c r="Z6" s="75" t="s">
        <v>116</v>
      </c>
      <c r="AA6" s="76" t="s">
        <v>37</v>
      </c>
      <c r="AB6" s="54" t="s">
        <v>116</v>
      </c>
      <c r="AC6" s="76" t="s">
        <v>37</v>
      </c>
      <c r="AD6" s="54" t="s">
        <v>116</v>
      </c>
      <c r="AE6" s="76" t="s">
        <v>37</v>
      </c>
      <c r="AF6" s="54" t="s">
        <v>116</v>
      </c>
      <c r="AG6" s="76" t="s">
        <v>37</v>
      </c>
      <c r="AH6" s="54" t="s">
        <v>116</v>
      </c>
      <c r="AI6" s="76" t="s">
        <v>37</v>
      </c>
      <c r="AJ6" s="54" t="s">
        <v>116</v>
      </c>
      <c r="AK6" s="76" t="s">
        <v>37</v>
      </c>
      <c r="AL6" s="54" t="s">
        <v>116</v>
      </c>
      <c r="AM6" s="76" t="s">
        <v>37</v>
      </c>
      <c r="AN6" s="54" t="s">
        <v>116</v>
      </c>
      <c r="AO6" s="77" t="s">
        <v>37</v>
      </c>
    </row>
    <row r="7" spans="2:41" x14ac:dyDescent="0.2">
      <c r="B7" s="10" t="s">
        <v>326</v>
      </c>
      <c r="C7" s="11" t="s">
        <v>17</v>
      </c>
      <c r="D7" s="12" t="s">
        <v>93</v>
      </c>
      <c r="E7" s="71" t="str">
        <f>"0x0"&amp;DEC2HEX(4+HEX2DEC(RIGHT(E6, 4)))</f>
        <v>0x0204</v>
      </c>
      <c r="F7" s="11" t="s">
        <v>338</v>
      </c>
      <c r="G7" s="11" t="s">
        <v>321</v>
      </c>
      <c r="H7" s="7" t="s">
        <v>18</v>
      </c>
      <c r="I7" s="7" t="s">
        <v>14</v>
      </c>
      <c r="J7" s="24" t="s">
        <v>15</v>
      </c>
      <c r="K7" s="95"/>
      <c r="L7" s="93" t="s">
        <v>78</v>
      </c>
      <c r="M7" s="23" t="s">
        <v>235</v>
      </c>
      <c r="N7" s="7" t="s">
        <v>236</v>
      </c>
      <c r="O7" s="7" t="s">
        <v>429</v>
      </c>
      <c r="P7" s="9" t="s">
        <v>432</v>
      </c>
      <c r="R7" s="20" t="str">
        <f>IF(J7 = $J$109, "11", IF(J7 = $J$108, "10", IF(J7 = $J$107, "01", IF(J7 = $J$106, "00", ""))))</f>
        <v>10</v>
      </c>
      <c r="S7" s="7" t="str">
        <f>IF(I7=$I$108,"10",IF(I7=$I$107,"01","00"))</f>
        <v>00</v>
      </c>
      <c r="T7" s="7" t="str">
        <f>IF(H7=$H$106,"000",IF(H7=$H$107,"001",IF(H7=$H$108,"010",IF(H7=$H$109,"011",IF(H7=$H$110,"100",IF(H7=$H$111,"101",IF(H7=$H$112,"110",IF(H7=$H$113,"111",""))))))))</f>
        <v>000</v>
      </c>
      <c r="U7" s="9" t="str">
        <f t="shared" si="0"/>
        <v>//0x00400000   Pinmode:SPI_CLK</v>
      </c>
      <c r="W7" s="1">
        <f t="shared" ref="W7:W70" si="1">BIN2DEC(T7)</f>
        <v>0</v>
      </c>
      <c r="X7" s="1" t="str">
        <f t="shared" ref="X7:X70" si="2">INDEX(Z7:AO7, 1,1+W7*2)</f>
        <v>SPI_CLK</v>
      </c>
      <c r="Z7" s="75" t="s">
        <v>434</v>
      </c>
      <c r="AA7" s="76" t="s">
        <v>37</v>
      </c>
      <c r="AB7" s="54" t="s">
        <v>117</v>
      </c>
      <c r="AC7" s="76" t="s">
        <v>37</v>
      </c>
      <c r="AD7" s="54" t="s">
        <v>117</v>
      </c>
      <c r="AE7" s="76" t="s">
        <v>37</v>
      </c>
      <c r="AF7" s="54" t="s">
        <v>117</v>
      </c>
      <c r="AG7" s="76" t="s">
        <v>37</v>
      </c>
      <c r="AH7" s="54" t="s">
        <v>117</v>
      </c>
      <c r="AI7" s="76" t="s">
        <v>37</v>
      </c>
      <c r="AJ7" s="54" t="s">
        <v>117</v>
      </c>
      <c r="AK7" s="76" t="s">
        <v>37</v>
      </c>
      <c r="AL7" s="54" t="s">
        <v>117</v>
      </c>
      <c r="AM7" s="76" t="s">
        <v>37</v>
      </c>
      <c r="AN7" s="54" t="s">
        <v>117</v>
      </c>
      <c r="AO7" s="77" t="s">
        <v>37</v>
      </c>
    </row>
    <row r="8" spans="2:41" x14ac:dyDescent="0.2">
      <c r="B8" s="10" t="s">
        <v>327</v>
      </c>
      <c r="C8" s="13" t="s">
        <v>20</v>
      </c>
      <c r="D8" s="12" t="s">
        <v>93</v>
      </c>
      <c r="E8" s="71" t="str">
        <f t="shared" ref="E8:E71" si="3">"0x0"&amp;DEC2HEX(4+HEX2DEC(RIGHT(E7, 4)))</f>
        <v>0x0208</v>
      </c>
      <c r="F8" s="13" t="s">
        <v>339</v>
      </c>
      <c r="G8" s="13" t="s">
        <v>321</v>
      </c>
      <c r="H8" s="7" t="s">
        <v>18</v>
      </c>
      <c r="I8" s="7" t="s">
        <v>14</v>
      </c>
      <c r="J8" s="24" t="s">
        <v>15</v>
      </c>
      <c r="K8" s="95"/>
      <c r="L8" s="93" t="s">
        <v>78</v>
      </c>
      <c r="M8" s="23" t="s">
        <v>235</v>
      </c>
      <c r="N8" s="7" t="s">
        <v>236</v>
      </c>
      <c r="O8" s="7" t="s">
        <v>429</v>
      </c>
      <c r="P8" s="9" t="s">
        <v>432</v>
      </c>
      <c r="R8" s="20" t="str">
        <f>IF(J8 = $J$109, "11", IF(J8 = $J$108, "10", IF(J8 = $J$107, "01", IF(J8 = $J$106, "00", ""))))</f>
        <v>10</v>
      </c>
      <c r="S8" s="7" t="str">
        <f>IF(I8=$I$108,"10",IF(I8=$I$107,"01","00"))</f>
        <v>00</v>
      </c>
      <c r="T8" s="7" t="str">
        <f>IF(H8=$H$106,"000",IF(H8=$H$107,"001",IF(H8=$H$108,"010",IF(H8=$H$109,"011",IF(H8=$H$110,"100",IF(H8=$H$111,"101",IF(H8=$H$112,"110",IF(H8=$H$113,"111",""))))))))</f>
        <v>000</v>
      </c>
      <c r="U8" s="9" t="str">
        <f t="shared" si="0"/>
        <v>//0x00400000   Pinmode:SPI_DO</v>
      </c>
      <c r="W8" s="1">
        <f t="shared" si="1"/>
        <v>0</v>
      </c>
      <c r="X8" s="1" t="str">
        <f t="shared" si="2"/>
        <v>SPI_DO</v>
      </c>
      <c r="Z8" s="75" t="s">
        <v>118</v>
      </c>
      <c r="AA8" s="76" t="s">
        <v>37</v>
      </c>
      <c r="AB8" s="54" t="s">
        <v>118</v>
      </c>
      <c r="AC8" s="76" t="s">
        <v>37</v>
      </c>
      <c r="AD8" s="54" t="s">
        <v>118</v>
      </c>
      <c r="AE8" s="76" t="s">
        <v>37</v>
      </c>
      <c r="AF8" s="54" t="s">
        <v>118</v>
      </c>
      <c r="AG8" s="76" t="s">
        <v>37</v>
      </c>
      <c r="AH8" s="54" t="s">
        <v>118</v>
      </c>
      <c r="AI8" s="76" t="s">
        <v>37</v>
      </c>
      <c r="AJ8" s="54" t="s">
        <v>118</v>
      </c>
      <c r="AK8" s="76" t="s">
        <v>37</v>
      </c>
      <c r="AL8" s="54" t="s">
        <v>118</v>
      </c>
      <c r="AM8" s="76" t="s">
        <v>37</v>
      </c>
      <c r="AN8" s="54" t="s">
        <v>118</v>
      </c>
      <c r="AO8" s="77" t="s">
        <v>37</v>
      </c>
    </row>
    <row r="9" spans="2:41" x14ac:dyDescent="0.2">
      <c r="B9" s="10" t="s">
        <v>328</v>
      </c>
      <c r="C9" s="13" t="s">
        <v>23</v>
      </c>
      <c r="D9" s="12" t="s">
        <v>93</v>
      </c>
      <c r="E9" s="71" t="str">
        <f t="shared" si="3"/>
        <v>0x020C</v>
      </c>
      <c r="F9" s="13" t="s">
        <v>340</v>
      </c>
      <c r="G9" s="13" t="s">
        <v>321</v>
      </c>
      <c r="H9" s="7" t="s">
        <v>18</v>
      </c>
      <c r="I9" s="7" t="s">
        <v>14</v>
      </c>
      <c r="J9" s="24" t="s">
        <v>15</v>
      </c>
      <c r="K9" s="95"/>
      <c r="L9" s="93" t="s">
        <v>78</v>
      </c>
      <c r="M9" s="23" t="s">
        <v>235</v>
      </c>
      <c r="N9" s="7" t="s">
        <v>236</v>
      </c>
      <c r="O9" s="7" t="s">
        <v>429</v>
      </c>
      <c r="P9" s="9" t="s">
        <v>432</v>
      </c>
      <c r="R9" s="20" t="str">
        <f>IF(J9 = $J$109, "11", IF(J9 = $J$108, "10", IF(J9 = $J$107, "01", IF(J9 = $J$106, "00", ""))))</f>
        <v>10</v>
      </c>
      <c r="S9" s="7" t="str">
        <f>IF(I9=$I$108,"10",IF(I9=$I$107,"01","00"))</f>
        <v>00</v>
      </c>
      <c r="T9" s="7" t="str">
        <f>IF(H9=$H$106,"000",IF(H9=$H$107,"001",IF(H9=$H$108,"010",IF(H9=$H$109,"011",IF(H9=$H$110,"100",IF(H9=$H$111,"101",IF(H9=$H$112,"110",IF(H9=$H$113,"111",""))))))))</f>
        <v>000</v>
      </c>
      <c r="U9" s="9" t="str">
        <f t="shared" si="0"/>
        <v>//0x00400000   Pinmode:SPI_DI</v>
      </c>
      <c r="W9" s="1">
        <f t="shared" si="1"/>
        <v>0</v>
      </c>
      <c r="X9" s="1" t="str">
        <f t="shared" si="2"/>
        <v>SPI_DI</v>
      </c>
      <c r="Z9" s="75" t="s">
        <v>119</v>
      </c>
      <c r="AA9" s="76" t="s">
        <v>32</v>
      </c>
      <c r="AB9" s="54" t="s">
        <v>119</v>
      </c>
      <c r="AC9" s="76" t="s">
        <v>32</v>
      </c>
      <c r="AD9" s="54" t="s">
        <v>119</v>
      </c>
      <c r="AE9" s="76" t="s">
        <v>32</v>
      </c>
      <c r="AF9" s="54" t="s">
        <v>119</v>
      </c>
      <c r="AG9" s="76" t="s">
        <v>32</v>
      </c>
      <c r="AH9" s="54" t="s">
        <v>119</v>
      </c>
      <c r="AI9" s="76" t="s">
        <v>32</v>
      </c>
      <c r="AJ9" s="54" t="s">
        <v>119</v>
      </c>
      <c r="AK9" s="76" t="s">
        <v>32</v>
      </c>
      <c r="AL9" s="54" t="s">
        <v>119</v>
      </c>
      <c r="AM9" s="76" t="s">
        <v>32</v>
      </c>
      <c r="AN9" s="54" t="s">
        <v>119</v>
      </c>
      <c r="AO9" s="77" t="s">
        <v>32</v>
      </c>
    </row>
    <row r="10" spans="2:41" x14ac:dyDescent="0.2">
      <c r="B10" s="10" t="s">
        <v>329</v>
      </c>
      <c r="C10" s="13" t="s">
        <v>26</v>
      </c>
      <c r="D10" s="12" t="s">
        <v>93</v>
      </c>
      <c r="E10" s="71" t="str">
        <f t="shared" si="3"/>
        <v>0x0210</v>
      </c>
      <c r="F10" s="13" t="s">
        <v>341</v>
      </c>
      <c r="G10" s="13" t="s">
        <v>321</v>
      </c>
      <c r="H10" s="7" t="s">
        <v>18</v>
      </c>
      <c r="I10" s="7" t="s">
        <v>14</v>
      </c>
      <c r="J10" s="24" t="s">
        <v>15</v>
      </c>
      <c r="K10" s="95"/>
      <c r="L10" s="93" t="s">
        <v>78</v>
      </c>
      <c r="M10" s="23" t="s">
        <v>235</v>
      </c>
      <c r="N10" s="7" t="s">
        <v>236</v>
      </c>
      <c r="O10" s="7" t="s">
        <v>429</v>
      </c>
      <c r="P10" s="9" t="s">
        <v>432</v>
      </c>
      <c r="R10" s="20" t="str">
        <f>IF(J10 = $J$109, "11", IF(J10 = $J$108, "10", IF(J10 = $J$107, "01", IF(J10 = $J$106, "00", ""))))</f>
        <v>10</v>
      </c>
      <c r="S10" s="7" t="str">
        <f>IF(I10=$I$108,"10",IF(I10=$I$107,"01","00"))</f>
        <v>00</v>
      </c>
      <c r="T10" s="7" t="str">
        <f>IF(H10=$H$106,"000",IF(H10=$H$107,"001",IF(H10=$H$108,"010",IF(H10=$H$109,"011",IF(H10=$H$110,"100",IF(H10=$H$111,"101",IF(H10=$H$112,"110",IF(H10=$H$113,"111",""))))))))</f>
        <v>000</v>
      </c>
      <c r="U10" s="9" t="str">
        <f t="shared" si="0"/>
        <v>//0x00400000   Pinmode:SPI_WP_N</v>
      </c>
      <c r="W10" s="1">
        <f t="shared" si="1"/>
        <v>0</v>
      </c>
      <c r="X10" s="1" t="str">
        <f t="shared" si="2"/>
        <v>SPI_WP_N</v>
      </c>
      <c r="Z10" s="75" t="s">
        <v>13</v>
      </c>
      <c r="AA10" s="76" t="s">
        <v>37</v>
      </c>
      <c r="AB10" s="54" t="s">
        <v>13</v>
      </c>
      <c r="AC10" s="76" t="s">
        <v>37</v>
      </c>
      <c r="AD10" s="54" t="s">
        <v>13</v>
      </c>
      <c r="AE10" s="76" t="s">
        <v>37</v>
      </c>
      <c r="AF10" s="54" t="s">
        <v>13</v>
      </c>
      <c r="AG10" s="76" t="s">
        <v>37</v>
      </c>
      <c r="AH10" s="54" t="s">
        <v>13</v>
      </c>
      <c r="AI10" s="76" t="s">
        <v>37</v>
      </c>
      <c r="AJ10" s="54" t="s">
        <v>13</v>
      </c>
      <c r="AK10" s="76" t="s">
        <v>37</v>
      </c>
      <c r="AL10" s="54" t="s">
        <v>13</v>
      </c>
      <c r="AM10" s="76" t="s">
        <v>37</v>
      </c>
      <c r="AN10" s="54" t="s">
        <v>13</v>
      </c>
      <c r="AO10" s="77" t="s">
        <v>37</v>
      </c>
    </row>
    <row r="11" spans="2:41" x14ac:dyDescent="0.2">
      <c r="B11" s="10" t="s">
        <v>330</v>
      </c>
      <c r="C11" s="13" t="s">
        <v>28</v>
      </c>
      <c r="D11" s="12" t="s">
        <v>93</v>
      </c>
      <c r="E11" s="71" t="str">
        <f t="shared" si="3"/>
        <v>0x0214</v>
      </c>
      <c r="F11" s="13" t="s">
        <v>342</v>
      </c>
      <c r="G11" s="13" t="s">
        <v>321</v>
      </c>
      <c r="H11" s="7" t="s">
        <v>18</v>
      </c>
      <c r="I11" s="7" t="s">
        <v>14</v>
      </c>
      <c r="J11" s="24" t="s">
        <v>15</v>
      </c>
      <c r="K11" s="95"/>
      <c r="L11" s="93" t="s">
        <v>78</v>
      </c>
      <c r="M11" s="23" t="s">
        <v>235</v>
      </c>
      <c r="N11" s="7" t="s">
        <v>236</v>
      </c>
      <c r="O11" s="7" t="s">
        <v>429</v>
      </c>
      <c r="P11" s="9" t="s">
        <v>432</v>
      </c>
      <c r="R11" s="20" t="str">
        <f>IF(J11 = $J$109, "11", IF(J11 = $J$108, "10", IF(J11 = $J$107, "01", IF(J11 = $J$106, "00", ""))))</f>
        <v>10</v>
      </c>
      <c r="S11" s="7" t="str">
        <f>IF(I11=$I$108,"10",IF(I11=$I$107,"01","00"))</f>
        <v>00</v>
      </c>
      <c r="T11" s="7" t="str">
        <f>IF(H11=$H$106,"000",IF(H11=$H$107,"001",IF(H11=$H$108,"010",IF(H11=$H$109,"011",IF(H11=$H$110,"100",IF(H11=$H$111,"101",IF(H11=$H$112,"110",IF(H11=$H$113,"111",""))))))))</f>
        <v>000</v>
      </c>
      <c r="U11" s="9" t="str">
        <f t="shared" si="0"/>
        <v>//0x00400000   Pinmode:SPI_HOLD_N</v>
      </c>
      <c r="W11" s="1">
        <f t="shared" si="1"/>
        <v>0</v>
      </c>
      <c r="X11" s="1" t="str">
        <f t="shared" si="2"/>
        <v>SPI_HOLD_N</v>
      </c>
      <c r="Z11" s="75" t="s">
        <v>17</v>
      </c>
      <c r="AA11" s="76" t="s">
        <v>37</v>
      </c>
      <c r="AB11" s="54" t="s">
        <v>17</v>
      </c>
      <c r="AC11" s="76" t="s">
        <v>37</v>
      </c>
      <c r="AD11" s="54" t="s">
        <v>17</v>
      </c>
      <c r="AE11" s="76" t="s">
        <v>37</v>
      </c>
      <c r="AF11" s="54" t="s">
        <v>17</v>
      </c>
      <c r="AG11" s="76" t="s">
        <v>37</v>
      </c>
      <c r="AH11" s="54" t="s">
        <v>17</v>
      </c>
      <c r="AI11" s="76" t="s">
        <v>37</v>
      </c>
      <c r="AJ11" s="54" t="s">
        <v>17</v>
      </c>
      <c r="AK11" s="76" t="s">
        <v>37</v>
      </c>
      <c r="AL11" s="54" t="s">
        <v>17</v>
      </c>
      <c r="AM11" s="76" t="s">
        <v>37</v>
      </c>
      <c r="AN11" s="54" t="s">
        <v>17</v>
      </c>
      <c r="AO11" s="77" t="s">
        <v>37</v>
      </c>
    </row>
    <row r="12" spans="2:41" x14ac:dyDescent="0.2">
      <c r="B12" s="10" t="s">
        <v>331</v>
      </c>
      <c r="C12" s="13" t="s">
        <v>30</v>
      </c>
      <c r="D12" s="12" t="s">
        <v>93</v>
      </c>
      <c r="E12" s="71" t="str">
        <f t="shared" si="3"/>
        <v>0x0218</v>
      </c>
      <c r="F12" s="13" t="s">
        <v>343</v>
      </c>
      <c r="G12" s="13" t="s">
        <v>321</v>
      </c>
      <c r="H12" s="7" t="s">
        <v>18</v>
      </c>
      <c r="I12" s="7" t="s">
        <v>14</v>
      </c>
      <c r="J12" s="24" t="s">
        <v>15</v>
      </c>
      <c r="K12" s="95"/>
      <c r="L12" s="93" t="s">
        <v>78</v>
      </c>
      <c r="M12" s="23" t="s">
        <v>235</v>
      </c>
      <c r="N12" s="7" t="s">
        <v>236</v>
      </c>
      <c r="O12" s="7" t="s">
        <v>429</v>
      </c>
      <c r="P12" s="9" t="s">
        <v>432</v>
      </c>
      <c r="R12" s="20" t="str">
        <f>IF(J12 = $J$109, "11", IF(J12 = $J$108, "10", IF(J12 = $J$107, "01", IF(J12 = $J$106, "00", ""))))</f>
        <v>10</v>
      </c>
      <c r="S12" s="7" t="str">
        <f>IF(I12=$I$108,"10",IF(I12=$I$107,"01","00"))</f>
        <v>00</v>
      </c>
      <c r="T12" s="7" t="str">
        <f>IF(H12=$H$106,"000",IF(H12=$H$107,"001",IF(H12=$H$108,"010",IF(H12=$H$109,"011",IF(H12=$H$110,"100",IF(H12=$H$111,"101",IF(H12=$H$112,"110",IF(H12=$H$113,"111",""))))))))</f>
        <v>000</v>
      </c>
      <c r="U12" s="9" t="str">
        <f t="shared" si="0"/>
        <v>//0x00400000   Pinmode:I2C0_CLK</v>
      </c>
      <c r="W12" s="1">
        <f t="shared" si="1"/>
        <v>0</v>
      </c>
      <c r="X12" s="1" t="str">
        <f t="shared" si="2"/>
        <v>I2C0_CLK</v>
      </c>
      <c r="Z12" s="78" t="s">
        <v>22</v>
      </c>
      <c r="AA12" s="76" t="s">
        <v>120</v>
      </c>
      <c r="AB12" s="55" t="s">
        <v>22</v>
      </c>
      <c r="AC12" s="76" t="s">
        <v>120</v>
      </c>
      <c r="AD12" s="55" t="s">
        <v>22</v>
      </c>
      <c r="AE12" s="76" t="s">
        <v>120</v>
      </c>
      <c r="AF12" s="56" t="s">
        <v>121</v>
      </c>
      <c r="AG12" s="76" t="s">
        <v>32</v>
      </c>
      <c r="AH12" s="57" t="s">
        <v>50</v>
      </c>
      <c r="AI12" s="76" t="s">
        <v>37</v>
      </c>
      <c r="AJ12" s="55" t="s">
        <v>22</v>
      </c>
      <c r="AK12" s="76" t="s">
        <v>120</v>
      </c>
      <c r="AL12" s="58" t="s">
        <v>122</v>
      </c>
      <c r="AM12" s="76" t="s">
        <v>37</v>
      </c>
      <c r="AN12" s="59" t="s">
        <v>439</v>
      </c>
      <c r="AO12" s="77" t="s">
        <v>120</v>
      </c>
    </row>
    <row r="13" spans="2:41" x14ac:dyDescent="0.2">
      <c r="B13" s="10" t="s">
        <v>332</v>
      </c>
      <c r="C13" s="13" t="s">
        <v>31</v>
      </c>
      <c r="D13" s="12" t="s">
        <v>93</v>
      </c>
      <c r="E13" s="71" t="str">
        <f t="shared" si="3"/>
        <v>0x021C</v>
      </c>
      <c r="F13" s="13" t="s">
        <v>344</v>
      </c>
      <c r="G13" s="13" t="s">
        <v>321</v>
      </c>
      <c r="H13" s="7" t="s">
        <v>18</v>
      </c>
      <c r="I13" s="7" t="s">
        <v>14</v>
      </c>
      <c r="J13" s="24" t="s">
        <v>15</v>
      </c>
      <c r="K13" s="95"/>
      <c r="L13" s="93" t="s">
        <v>78</v>
      </c>
      <c r="M13" s="23" t="s">
        <v>235</v>
      </c>
      <c r="N13" s="7" t="s">
        <v>236</v>
      </c>
      <c r="O13" s="7" t="s">
        <v>429</v>
      </c>
      <c r="P13" s="9" t="s">
        <v>432</v>
      </c>
      <c r="R13" s="20" t="str">
        <f>IF(J13 = $J$109, "11", IF(J13 = $J$108, "10", IF(J13 = $J$107, "01", IF(J13 = $J$106, "00", ""))))</f>
        <v>10</v>
      </c>
      <c r="S13" s="7" t="str">
        <f>IF(I13=$I$108,"10",IF(I13=$I$107,"01","00"))</f>
        <v>00</v>
      </c>
      <c r="T13" s="7" t="str">
        <f>IF(H13=$H$106,"000",IF(H13=$H$107,"001",IF(H13=$H$108,"010",IF(H13=$H$109,"011",IF(H13=$H$110,"100",IF(H13=$H$111,"101",IF(H13=$H$112,"110",IF(H13=$H$113,"111",""))))))))</f>
        <v>000</v>
      </c>
      <c r="U13" s="9" t="str">
        <f t="shared" si="0"/>
        <v>//0x00400000   Pinmode:I2C0_DATA</v>
      </c>
      <c r="W13" s="1">
        <f t="shared" si="1"/>
        <v>0</v>
      </c>
      <c r="X13" s="1" t="str">
        <f t="shared" si="2"/>
        <v>I2C0_DATA</v>
      </c>
      <c r="Z13" s="78" t="s">
        <v>25</v>
      </c>
      <c r="AA13" s="76" t="s">
        <v>120</v>
      </c>
      <c r="AB13" s="55" t="s">
        <v>25</v>
      </c>
      <c r="AC13" s="76" t="s">
        <v>120</v>
      </c>
      <c r="AD13" s="55" t="s">
        <v>25</v>
      </c>
      <c r="AE13" s="76" t="s">
        <v>120</v>
      </c>
      <c r="AF13" s="56" t="s">
        <v>121</v>
      </c>
      <c r="AG13" s="76" t="s">
        <v>32</v>
      </c>
      <c r="AH13" s="57" t="s">
        <v>123</v>
      </c>
      <c r="AI13" s="76" t="s">
        <v>37</v>
      </c>
      <c r="AJ13" s="55" t="s">
        <v>25</v>
      </c>
      <c r="AK13" s="76" t="s">
        <v>120</v>
      </c>
      <c r="AL13" s="58" t="s">
        <v>124</v>
      </c>
      <c r="AM13" s="76" t="s">
        <v>37</v>
      </c>
      <c r="AN13" s="59" t="s">
        <v>440</v>
      </c>
      <c r="AO13" s="77" t="s">
        <v>120</v>
      </c>
    </row>
    <row r="14" spans="2:41" x14ac:dyDescent="0.2">
      <c r="B14" s="10" t="s">
        <v>333</v>
      </c>
      <c r="C14" s="13" t="s">
        <v>33</v>
      </c>
      <c r="D14" s="12" t="s">
        <v>93</v>
      </c>
      <c r="E14" s="71" t="str">
        <f t="shared" si="3"/>
        <v>0x0220</v>
      </c>
      <c r="F14" s="13" t="s">
        <v>438</v>
      </c>
      <c r="G14" s="13" t="s">
        <v>321</v>
      </c>
      <c r="H14" s="7" t="s">
        <v>18</v>
      </c>
      <c r="I14" s="7" t="s">
        <v>14</v>
      </c>
      <c r="J14" s="24" t="s">
        <v>15</v>
      </c>
      <c r="K14" s="95"/>
      <c r="L14" s="93" t="s">
        <v>78</v>
      </c>
      <c r="M14" s="23" t="s">
        <v>235</v>
      </c>
      <c r="N14" s="7" t="s">
        <v>236</v>
      </c>
      <c r="O14" s="7" t="s">
        <v>429</v>
      </c>
      <c r="P14" s="9" t="s">
        <v>432</v>
      </c>
      <c r="R14" s="20" t="str">
        <f>IF(J14 = $J$109, "11", IF(J14 = $J$108, "10", IF(J14 = $J$107, "01", IF(J14 = $J$106, "00", ""))))</f>
        <v>10</v>
      </c>
      <c r="S14" s="7" t="str">
        <f>IF(I14=$I$108,"10",IF(I14=$I$107,"01","00"))</f>
        <v>00</v>
      </c>
      <c r="T14" s="7" t="str">
        <f>IF(H14=$H$106,"000",IF(H14=$H$107,"001",IF(H14=$H$108,"010",IF(H14=$H$109,"011",IF(H14=$H$110,"100",IF(H14=$H$111,"101",IF(H14=$H$112,"110",IF(H14=$H$113,"111",""))))))))</f>
        <v>000</v>
      </c>
      <c r="U14" s="9" t="str">
        <f t="shared" si="0"/>
        <v>//0x00400000   Pinmode:I2C1_CLK</v>
      </c>
      <c r="W14" s="1">
        <f t="shared" si="1"/>
        <v>0</v>
      </c>
      <c r="X14" s="1" t="str">
        <f t="shared" si="2"/>
        <v>I2C1_CLK</v>
      </c>
      <c r="Z14" s="78" t="s">
        <v>27</v>
      </c>
      <c r="AA14" s="76" t="s">
        <v>120</v>
      </c>
      <c r="AB14" s="55" t="s">
        <v>27</v>
      </c>
      <c r="AC14" s="76" t="s">
        <v>120</v>
      </c>
      <c r="AD14" s="55" t="s">
        <v>27</v>
      </c>
      <c r="AE14" s="76" t="s">
        <v>120</v>
      </c>
      <c r="AF14" s="56" t="s">
        <v>121</v>
      </c>
      <c r="AG14" s="76" t="s">
        <v>32</v>
      </c>
      <c r="AH14" s="60" t="s">
        <v>24</v>
      </c>
      <c r="AI14" s="76" t="s">
        <v>37</v>
      </c>
      <c r="AJ14" s="61" t="s">
        <v>151</v>
      </c>
      <c r="AK14" s="76" t="s">
        <v>32</v>
      </c>
      <c r="AL14" s="58" t="s">
        <v>152</v>
      </c>
      <c r="AM14" s="76" t="s">
        <v>37</v>
      </c>
      <c r="AN14" s="59" t="s">
        <v>441</v>
      </c>
      <c r="AO14" s="77" t="s">
        <v>120</v>
      </c>
    </row>
    <row r="15" spans="2:41" x14ac:dyDescent="0.2">
      <c r="B15" s="10" t="s">
        <v>90</v>
      </c>
      <c r="C15" s="13" t="s">
        <v>34</v>
      </c>
      <c r="D15" s="12" t="s">
        <v>93</v>
      </c>
      <c r="E15" s="71" t="str">
        <f t="shared" si="3"/>
        <v>0x0224</v>
      </c>
      <c r="F15" s="13" t="s">
        <v>345</v>
      </c>
      <c r="G15" s="13" t="s">
        <v>321</v>
      </c>
      <c r="H15" s="7" t="s">
        <v>18</v>
      </c>
      <c r="I15" s="7" t="s">
        <v>14</v>
      </c>
      <c r="J15" s="24" t="s">
        <v>15</v>
      </c>
      <c r="K15" s="95"/>
      <c r="L15" s="93" t="s">
        <v>78</v>
      </c>
      <c r="M15" s="23" t="s">
        <v>235</v>
      </c>
      <c r="N15" s="7" t="s">
        <v>236</v>
      </c>
      <c r="O15" s="7" t="s">
        <v>429</v>
      </c>
      <c r="P15" s="9" t="s">
        <v>432</v>
      </c>
      <c r="R15" s="20" t="str">
        <f>IF(J15 = $J$109, "11", IF(J15 = $J$108, "10", IF(J15 = $J$107, "01", IF(J15 = $J$106, "00", ""))))</f>
        <v>10</v>
      </c>
      <c r="S15" s="7" t="str">
        <f>IF(I15=$I$108,"10",IF(I15=$I$107,"01","00"))</f>
        <v>00</v>
      </c>
      <c r="T15" s="7" t="str">
        <f>IF(H15=$H$106,"000",IF(H15=$H$107,"001",IF(H15=$H$108,"010",IF(H15=$H$109,"011",IF(H15=$H$110,"100",IF(H15=$H$111,"101",IF(H15=$H$112,"110",IF(H15=$H$113,"111",""))))))))</f>
        <v>000</v>
      </c>
      <c r="U15" s="9" t="str">
        <f t="shared" si="0"/>
        <v>//0x00400000   Pinmode:I2C1_DATA</v>
      </c>
      <c r="W15" s="1">
        <f t="shared" si="1"/>
        <v>0</v>
      </c>
      <c r="X15" s="1" t="str">
        <f t="shared" si="2"/>
        <v>I2C1_DATA</v>
      </c>
      <c r="Z15" s="78" t="s">
        <v>29</v>
      </c>
      <c r="AA15" s="76" t="s">
        <v>120</v>
      </c>
      <c r="AB15" s="55" t="s">
        <v>29</v>
      </c>
      <c r="AC15" s="76" t="s">
        <v>120</v>
      </c>
      <c r="AD15" s="55" t="s">
        <v>29</v>
      </c>
      <c r="AE15" s="76" t="s">
        <v>120</v>
      </c>
      <c r="AF15" s="56" t="s">
        <v>121</v>
      </c>
      <c r="AG15" s="76" t="s">
        <v>32</v>
      </c>
      <c r="AH15" s="60" t="s">
        <v>21</v>
      </c>
      <c r="AI15" s="76" t="s">
        <v>32</v>
      </c>
      <c r="AJ15" s="61" t="s">
        <v>153</v>
      </c>
      <c r="AK15" s="76" t="s">
        <v>32</v>
      </c>
      <c r="AL15" s="58" t="s">
        <v>154</v>
      </c>
      <c r="AM15" s="76" t="s">
        <v>37</v>
      </c>
      <c r="AN15" s="59" t="s">
        <v>442</v>
      </c>
      <c r="AO15" s="77" t="s">
        <v>120</v>
      </c>
    </row>
    <row r="16" spans="2:41" x14ac:dyDescent="0.2">
      <c r="B16" s="10" t="s">
        <v>294</v>
      </c>
      <c r="C16" s="13" t="s">
        <v>35</v>
      </c>
      <c r="D16" s="12" t="s">
        <v>93</v>
      </c>
      <c r="E16" s="71" t="str">
        <f t="shared" si="3"/>
        <v>0x0228</v>
      </c>
      <c r="F16" s="13" t="s">
        <v>346</v>
      </c>
      <c r="G16" s="13" t="s">
        <v>323</v>
      </c>
      <c r="H16" s="7" t="str">
        <f>Default_mod</f>
        <v>PIN_MODE_0</v>
      </c>
      <c r="I16" s="7" t="str">
        <f>Default_pud</f>
        <v>PIN_PULL_NONE</v>
      </c>
      <c r="J16" s="24" t="str">
        <f>Default_drv</f>
        <v>PIN_DRIVING_12MA</v>
      </c>
      <c r="K16" s="95"/>
      <c r="L16" s="93" t="s">
        <v>78</v>
      </c>
      <c r="M16" s="23" t="s">
        <v>235</v>
      </c>
      <c r="N16" s="7" t="s">
        <v>236</v>
      </c>
      <c r="O16" s="7" t="s">
        <v>429</v>
      </c>
      <c r="P16" s="9" t="s">
        <v>432</v>
      </c>
      <c r="R16" s="20" t="str">
        <f>IF(J16 = $J$109, "11", IF(J16 = $J$108, "10", IF(J16 = $J$107, "01", IF(J16 = $J$106, "00", ""))))</f>
        <v>10</v>
      </c>
      <c r="S16" s="7" t="str">
        <f>IF(I16=$I$108,"10",IF(I16=$I$107,"01","00"))</f>
        <v>00</v>
      </c>
      <c r="T16" s="7" t="str">
        <f>IF(H16=$H$106,"000",IF(H16=$H$107,"001",IF(H16=$H$108,"010",IF(H16=$H$109,"011",IF(H16=$H$110,"100",IF(H16=$H$111,"101",IF(H16=$H$112,"110",IF(H16=$H$113,"111",""))))))))</f>
        <v>000</v>
      </c>
      <c r="U16" s="9" t="str">
        <f t="shared" si="0"/>
        <v>//0x00400000   Pinmode:I2C2_CLK</v>
      </c>
      <c r="W16" s="1">
        <f t="shared" si="1"/>
        <v>0</v>
      </c>
      <c r="X16" s="1" t="str">
        <f t="shared" si="2"/>
        <v>I2C2_CLK</v>
      </c>
      <c r="Z16" s="78" t="s">
        <v>16</v>
      </c>
      <c r="AA16" s="76" t="s">
        <v>120</v>
      </c>
      <c r="AB16" s="55" t="s">
        <v>16</v>
      </c>
      <c r="AC16" s="76" t="s">
        <v>120</v>
      </c>
      <c r="AD16" s="55" t="s">
        <v>16</v>
      </c>
      <c r="AE16" s="76" t="s">
        <v>120</v>
      </c>
      <c r="AF16" s="56" t="s">
        <v>121</v>
      </c>
      <c r="AG16" s="76" t="s">
        <v>32</v>
      </c>
      <c r="AH16" s="62" t="s">
        <v>192</v>
      </c>
      <c r="AI16" s="76" t="s">
        <v>32</v>
      </c>
      <c r="AJ16" s="61" t="s">
        <v>193</v>
      </c>
      <c r="AK16" s="76" t="s">
        <v>32</v>
      </c>
      <c r="AL16" s="58" t="s">
        <v>194</v>
      </c>
      <c r="AM16" s="76" t="s">
        <v>37</v>
      </c>
      <c r="AN16" s="59" t="s">
        <v>443</v>
      </c>
      <c r="AO16" s="77" t="s">
        <v>120</v>
      </c>
    </row>
    <row r="17" spans="2:41" x14ac:dyDescent="0.2">
      <c r="B17" s="10" t="s">
        <v>295</v>
      </c>
      <c r="C17" s="13" t="s">
        <v>36</v>
      </c>
      <c r="D17" s="12" t="s">
        <v>93</v>
      </c>
      <c r="E17" s="71" t="str">
        <f t="shared" si="3"/>
        <v>0x022C</v>
      </c>
      <c r="F17" s="13" t="s">
        <v>347</v>
      </c>
      <c r="G17" s="13" t="s">
        <v>323</v>
      </c>
      <c r="H17" s="7" t="str">
        <f>Default_mod</f>
        <v>PIN_MODE_0</v>
      </c>
      <c r="I17" s="7" t="str">
        <f>Default_pud</f>
        <v>PIN_PULL_NONE</v>
      </c>
      <c r="J17" s="24" t="str">
        <f>Default_drv</f>
        <v>PIN_DRIVING_12MA</v>
      </c>
      <c r="K17" s="95"/>
      <c r="L17" s="93" t="s">
        <v>78</v>
      </c>
      <c r="M17" s="23" t="s">
        <v>235</v>
      </c>
      <c r="N17" s="7" t="s">
        <v>236</v>
      </c>
      <c r="O17" s="7" t="s">
        <v>429</v>
      </c>
      <c r="P17" s="9" t="s">
        <v>432</v>
      </c>
      <c r="R17" s="20" t="str">
        <f>IF(J17 = $J$109, "11", IF(J17 = $J$108, "10", IF(J17 = $J$107, "01", IF(J17 = $J$106, "00", ""))))</f>
        <v>10</v>
      </c>
      <c r="S17" s="7" t="str">
        <f>IF(I17=$I$108,"10",IF(I17=$I$107,"01","00"))</f>
        <v>00</v>
      </c>
      <c r="T17" s="7" t="str">
        <f>IF(H17=$H$106,"000",IF(H17=$H$107,"001",IF(H17=$H$108,"010",IF(H17=$H$109,"011",IF(H17=$H$110,"100",IF(H17=$H$111,"101",IF(H17=$H$112,"110",IF(H17=$H$113,"111",""))))))))</f>
        <v>000</v>
      </c>
      <c r="U17" s="9" t="str">
        <f t="shared" si="0"/>
        <v>//0x00400000   Pinmode:I2C2_DATA</v>
      </c>
      <c r="W17" s="1">
        <f t="shared" si="1"/>
        <v>0</v>
      </c>
      <c r="X17" s="1" t="str">
        <f t="shared" si="2"/>
        <v>I2C2_DATA</v>
      </c>
      <c r="Z17" s="78" t="s">
        <v>19</v>
      </c>
      <c r="AA17" s="76" t="s">
        <v>120</v>
      </c>
      <c r="AB17" s="55" t="s">
        <v>19</v>
      </c>
      <c r="AC17" s="76" t="s">
        <v>120</v>
      </c>
      <c r="AD17" s="55" t="s">
        <v>19</v>
      </c>
      <c r="AE17" s="76" t="s">
        <v>120</v>
      </c>
      <c r="AF17" s="56" t="s">
        <v>121</v>
      </c>
      <c r="AG17" s="76" t="s">
        <v>32</v>
      </c>
      <c r="AH17" s="62" t="s">
        <v>195</v>
      </c>
      <c r="AI17" s="76" t="s">
        <v>32</v>
      </c>
      <c r="AJ17" s="61" t="s">
        <v>196</v>
      </c>
      <c r="AK17" s="76" t="s">
        <v>32</v>
      </c>
      <c r="AL17" s="58" t="s">
        <v>197</v>
      </c>
      <c r="AM17" s="76" t="s">
        <v>37</v>
      </c>
      <c r="AN17" s="59" t="s">
        <v>444</v>
      </c>
      <c r="AO17" s="77" t="s">
        <v>120</v>
      </c>
    </row>
    <row r="18" spans="2:41" x14ac:dyDescent="0.2">
      <c r="B18" s="10" t="s">
        <v>259</v>
      </c>
      <c r="C18" s="13" t="s">
        <v>38</v>
      </c>
      <c r="D18" s="12" t="s">
        <v>93</v>
      </c>
      <c r="E18" s="71" t="str">
        <f t="shared" si="3"/>
        <v>0x0230</v>
      </c>
      <c r="F18" s="13" t="s">
        <v>348</v>
      </c>
      <c r="G18" s="13" t="s">
        <v>321</v>
      </c>
      <c r="H18" s="7" t="s">
        <v>18</v>
      </c>
      <c r="I18" s="7" t="s">
        <v>14</v>
      </c>
      <c r="J18" s="24" t="s">
        <v>15</v>
      </c>
      <c r="K18" s="95"/>
      <c r="L18" s="93" t="s">
        <v>78</v>
      </c>
      <c r="M18" s="23" t="s">
        <v>235</v>
      </c>
      <c r="N18" s="7" t="s">
        <v>236</v>
      </c>
      <c r="O18" s="7" t="s">
        <v>429</v>
      </c>
      <c r="P18" s="9" t="s">
        <v>432</v>
      </c>
      <c r="R18" s="20" t="str">
        <f>IF(J18 = $J$109, "11", IF(J18 = $J$108, "10", IF(J18 = $J$107, "01", IF(J18 = $J$106, "00", ""))))</f>
        <v>10</v>
      </c>
      <c r="S18" s="7" t="str">
        <f>IF(I18=$I$108,"10",IF(I18=$I$107,"01","00"))</f>
        <v>00</v>
      </c>
      <c r="T18" s="7" t="str">
        <f>IF(H18=$H$106,"000",IF(H18=$H$107,"001",IF(H18=$H$108,"010",IF(H18=$H$109,"011",IF(H18=$H$110,"100",IF(H18=$H$111,"101",IF(H18=$H$112,"110",IF(H18=$H$113,"111",""))))))))</f>
        <v>000</v>
      </c>
      <c r="U18" s="9" t="str">
        <f t="shared" si="0"/>
        <v>//0x00400000   Pinmode:SSP0_CLK</v>
      </c>
      <c r="W18" s="1">
        <f t="shared" si="1"/>
        <v>0</v>
      </c>
      <c r="X18" s="1" t="str">
        <f t="shared" si="2"/>
        <v>SSP0_CLK</v>
      </c>
      <c r="Z18" s="79" t="s">
        <v>423</v>
      </c>
      <c r="AA18" s="76" t="s">
        <v>120</v>
      </c>
      <c r="AB18" s="63" t="s">
        <v>125</v>
      </c>
      <c r="AC18" s="76" t="s">
        <v>120</v>
      </c>
      <c r="AD18" s="63" t="s">
        <v>125</v>
      </c>
      <c r="AE18" s="76" t="s">
        <v>120</v>
      </c>
      <c r="AF18" s="63" t="s">
        <v>125</v>
      </c>
      <c r="AG18" s="76" t="s">
        <v>120</v>
      </c>
      <c r="AH18" s="63" t="s">
        <v>125</v>
      </c>
      <c r="AI18" s="76" t="s">
        <v>120</v>
      </c>
      <c r="AJ18" s="63" t="s">
        <v>125</v>
      </c>
      <c r="AK18" s="76" t="s">
        <v>120</v>
      </c>
      <c r="AL18" s="63" t="s">
        <v>125</v>
      </c>
      <c r="AM18" s="76" t="s">
        <v>120</v>
      </c>
      <c r="AN18" s="63" t="s">
        <v>125</v>
      </c>
      <c r="AO18" s="77" t="s">
        <v>120</v>
      </c>
    </row>
    <row r="19" spans="2:41" x14ac:dyDescent="0.2">
      <c r="B19" s="10" t="s">
        <v>260</v>
      </c>
      <c r="C19" s="13" t="s">
        <v>39</v>
      </c>
      <c r="D19" s="12" t="s">
        <v>93</v>
      </c>
      <c r="E19" s="71" t="str">
        <f t="shared" si="3"/>
        <v>0x0234</v>
      </c>
      <c r="F19" s="13" t="s">
        <v>437</v>
      </c>
      <c r="G19" s="13" t="s">
        <v>321</v>
      </c>
      <c r="H19" s="7" t="s">
        <v>18</v>
      </c>
      <c r="I19" s="7" t="s">
        <v>14</v>
      </c>
      <c r="J19" s="24" t="s">
        <v>15</v>
      </c>
      <c r="K19" s="95"/>
      <c r="L19" s="93" t="s">
        <v>78</v>
      </c>
      <c r="M19" s="23" t="s">
        <v>235</v>
      </c>
      <c r="N19" s="7" t="s">
        <v>236</v>
      </c>
      <c r="O19" s="7" t="s">
        <v>429</v>
      </c>
      <c r="P19" s="9" t="s">
        <v>432</v>
      </c>
      <c r="R19" s="20" t="str">
        <f>IF(J19 = $J$109, "11", IF(J19 = $J$108, "10", IF(J19 = $J$107, "01", IF(J19 = $J$106, "00", ""))))</f>
        <v>10</v>
      </c>
      <c r="S19" s="7" t="str">
        <f>IF(I19=$I$108,"10",IF(I19=$I$107,"01","00"))</f>
        <v>00</v>
      </c>
      <c r="T19" s="7" t="str">
        <f>IF(H19=$H$106,"000",IF(H19=$H$107,"001",IF(H19=$H$108,"010",IF(H19=$H$109,"011",IF(H19=$H$110,"100",IF(H19=$H$111,"101",IF(H19=$H$112,"110",IF(H19=$H$113,"111",""))))))))</f>
        <v>000</v>
      </c>
      <c r="U19" s="9" t="str">
        <f t="shared" si="0"/>
        <v>//0x00400000   Pinmode:SSP0_CS0</v>
      </c>
      <c r="W19" s="1">
        <f t="shared" si="1"/>
        <v>0</v>
      </c>
      <c r="X19" s="1" t="str">
        <f t="shared" si="2"/>
        <v>SSP0_CS0</v>
      </c>
      <c r="Z19" s="79" t="s">
        <v>126</v>
      </c>
      <c r="AA19" s="76" t="s">
        <v>120</v>
      </c>
      <c r="AB19" s="63" t="s">
        <v>126</v>
      </c>
      <c r="AC19" s="76" t="s">
        <v>120</v>
      </c>
      <c r="AD19" s="63" t="s">
        <v>126</v>
      </c>
      <c r="AE19" s="76" t="s">
        <v>120</v>
      </c>
      <c r="AF19" s="63" t="s">
        <v>126</v>
      </c>
      <c r="AG19" s="76" t="s">
        <v>120</v>
      </c>
      <c r="AH19" s="63" t="s">
        <v>126</v>
      </c>
      <c r="AI19" s="76" t="s">
        <v>120</v>
      </c>
      <c r="AJ19" s="63" t="s">
        <v>126</v>
      </c>
      <c r="AK19" s="76" t="s">
        <v>120</v>
      </c>
      <c r="AL19" s="63" t="s">
        <v>126</v>
      </c>
      <c r="AM19" s="76" t="s">
        <v>120</v>
      </c>
      <c r="AN19" s="63" t="s">
        <v>126</v>
      </c>
      <c r="AO19" s="77" t="s">
        <v>120</v>
      </c>
    </row>
    <row r="20" spans="2:41" x14ac:dyDescent="0.2">
      <c r="B20" s="10" t="s">
        <v>261</v>
      </c>
      <c r="C20" s="13" t="s">
        <v>40</v>
      </c>
      <c r="D20" s="12" t="s">
        <v>93</v>
      </c>
      <c r="E20" s="71" t="str">
        <f t="shared" si="3"/>
        <v>0x0238</v>
      </c>
      <c r="F20" s="13" t="s">
        <v>349</v>
      </c>
      <c r="G20" s="13" t="s">
        <v>323</v>
      </c>
      <c r="H20" s="7" t="str">
        <f>Default_mod</f>
        <v>PIN_MODE_0</v>
      </c>
      <c r="I20" s="7" t="str">
        <f>Default_pud</f>
        <v>PIN_PULL_NONE</v>
      </c>
      <c r="J20" s="24" t="str">
        <f>Default_drv</f>
        <v>PIN_DRIVING_12MA</v>
      </c>
      <c r="K20" s="95"/>
      <c r="L20" s="93" t="s">
        <v>78</v>
      </c>
      <c r="M20" s="23" t="s">
        <v>235</v>
      </c>
      <c r="N20" s="7" t="s">
        <v>236</v>
      </c>
      <c r="O20" s="7" t="s">
        <v>429</v>
      </c>
      <c r="P20" s="9" t="s">
        <v>432</v>
      </c>
      <c r="R20" s="20" t="str">
        <f>IF(J20 = $J$109, "11", IF(J20 = $J$108, "10", IF(J20 = $J$107, "01", IF(J20 = $J$106, "00", ""))))</f>
        <v>10</v>
      </c>
      <c r="S20" s="7" t="str">
        <f>IF(I20=$I$108,"10",IF(I20=$I$107,"01","00"))</f>
        <v>00</v>
      </c>
      <c r="T20" s="7" t="str">
        <f>IF(H20=$H$106,"000",IF(H20=$H$107,"001",IF(H20=$H$108,"010",IF(H20=$H$109,"011",IF(H20=$H$110,"100",IF(H20=$H$111,"101",IF(H20=$H$112,"110",IF(H20=$H$113,"111",""))))))))</f>
        <v>000</v>
      </c>
      <c r="U20" s="9" t="str">
        <f t="shared" si="0"/>
        <v>//0x00400000   Pinmode:SSP0_CS1</v>
      </c>
      <c r="W20" s="1">
        <f t="shared" si="1"/>
        <v>0</v>
      </c>
      <c r="X20" s="1" t="str">
        <f t="shared" si="2"/>
        <v>SSP0_CS1</v>
      </c>
      <c r="Z20" s="79" t="s">
        <v>127</v>
      </c>
      <c r="AA20" s="80" t="s">
        <v>120</v>
      </c>
      <c r="AB20" s="63" t="s">
        <v>127</v>
      </c>
      <c r="AC20" s="76" t="s">
        <v>32</v>
      </c>
      <c r="AD20" s="63" t="s">
        <v>127</v>
      </c>
      <c r="AE20" s="76" t="s">
        <v>32</v>
      </c>
      <c r="AF20" s="63" t="s">
        <v>127</v>
      </c>
      <c r="AG20" s="76" t="s">
        <v>32</v>
      </c>
      <c r="AH20" s="63" t="s">
        <v>127</v>
      </c>
      <c r="AI20" s="76" t="s">
        <v>32</v>
      </c>
      <c r="AJ20" s="63" t="s">
        <v>127</v>
      </c>
      <c r="AK20" s="76" t="s">
        <v>32</v>
      </c>
      <c r="AL20" s="63" t="s">
        <v>127</v>
      </c>
      <c r="AM20" s="76" t="s">
        <v>32</v>
      </c>
      <c r="AN20" s="63" t="s">
        <v>127</v>
      </c>
      <c r="AO20" s="77" t="s">
        <v>120</v>
      </c>
    </row>
    <row r="21" spans="2:41" x14ac:dyDescent="0.2">
      <c r="B21" s="10" t="s">
        <v>262</v>
      </c>
      <c r="C21" s="13" t="s">
        <v>41</v>
      </c>
      <c r="D21" s="12" t="s">
        <v>93</v>
      </c>
      <c r="E21" s="71" t="str">
        <f t="shared" si="3"/>
        <v>0x023C</v>
      </c>
      <c r="F21" s="13" t="s">
        <v>350</v>
      </c>
      <c r="G21" s="13" t="s">
        <v>321</v>
      </c>
      <c r="H21" s="7" t="s">
        <v>18</v>
      </c>
      <c r="I21" s="7" t="s">
        <v>14</v>
      </c>
      <c r="J21" s="24" t="s">
        <v>15</v>
      </c>
      <c r="K21" s="95"/>
      <c r="L21" s="93" t="s">
        <v>78</v>
      </c>
      <c r="M21" s="23" t="s">
        <v>235</v>
      </c>
      <c r="N21" s="7" t="s">
        <v>236</v>
      </c>
      <c r="O21" s="7" t="s">
        <v>429</v>
      </c>
      <c r="P21" s="9" t="s">
        <v>432</v>
      </c>
      <c r="R21" s="20" t="str">
        <f>IF(J21 = $J$109, "11", IF(J21 = $J$108, "10", IF(J21 = $J$107, "01", IF(J21 = $J$106, "00", ""))))</f>
        <v>10</v>
      </c>
      <c r="S21" s="7" t="str">
        <f>IF(I21=$I$108,"10",IF(I21=$I$107,"01","00"))</f>
        <v>00</v>
      </c>
      <c r="T21" s="7" t="str">
        <f>IF(H21=$H$106,"000",IF(H21=$H$107,"001",IF(H21=$H$108,"010",IF(H21=$H$109,"011",IF(H21=$H$110,"100",IF(H21=$H$111,"101",IF(H21=$H$112,"110",IF(H21=$H$113,"111",""))))))))</f>
        <v>000</v>
      </c>
      <c r="U21" s="9" t="str">
        <f t="shared" si="0"/>
        <v>//0x00400000   Pinmode:SSP0_DI</v>
      </c>
      <c r="W21" s="1">
        <f t="shared" si="1"/>
        <v>0</v>
      </c>
      <c r="X21" s="1" t="str">
        <f t="shared" si="2"/>
        <v>SSP0_DI</v>
      </c>
      <c r="Z21" s="79" t="s">
        <v>128</v>
      </c>
      <c r="AA21" s="76" t="s">
        <v>32</v>
      </c>
      <c r="AB21" s="63" t="s">
        <v>128</v>
      </c>
      <c r="AC21" s="76" t="s">
        <v>32</v>
      </c>
      <c r="AD21" s="63" t="s">
        <v>128</v>
      </c>
      <c r="AE21" s="76" t="s">
        <v>32</v>
      </c>
      <c r="AF21" s="63" t="s">
        <v>128</v>
      </c>
      <c r="AG21" s="76" t="s">
        <v>32</v>
      </c>
      <c r="AH21" s="63" t="s">
        <v>128</v>
      </c>
      <c r="AI21" s="76" t="s">
        <v>32</v>
      </c>
      <c r="AJ21" s="63" t="s">
        <v>128</v>
      </c>
      <c r="AK21" s="76" t="s">
        <v>32</v>
      </c>
      <c r="AL21" s="63" t="s">
        <v>128</v>
      </c>
      <c r="AM21" s="76" t="s">
        <v>32</v>
      </c>
      <c r="AN21" s="63" t="s">
        <v>128</v>
      </c>
      <c r="AO21" s="77" t="s">
        <v>32</v>
      </c>
    </row>
    <row r="22" spans="2:41" x14ac:dyDescent="0.2">
      <c r="B22" s="10" t="s">
        <v>263</v>
      </c>
      <c r="C22" s="13" t="s">
        <v>42</v>
      </c>
      <c r="D22" s="12" t="s">
        <v>93</v>
      </c>
      <c r="E22" s="71" t="str">
        <f t="shared" si="3"/>
        <v>0x0240</v>
      </c>
      <c r="F22" s="13" t="s">
        <v>351</v>
      </c>
      <c r="G22" s="13" t="s">
        <v>321</v>
      </c>
      <c r="H22" s="7" t="s">
        <v>18</v>
      </c>
      <c r="I22" s="7" t="s">
        <v>14</v>
      </c>
      <c r="J22" s="24" t="s">
        <v>15</v>
      </c>
      <c r="K22" s="95"/>
      <c r="L22" s="93" t="s">
        <v>78</v>
      </c>
      <c r="M22" s="23" t="s">
        <v>235</v>
      </c>
      <c r="N22" s="7" t="s">
        <v>236</v>
      </c>
      <c r="O22" s="7" t="s">
        <v>429</v>
      </c>
      <c r="P22" s="9" t="s">
        <v>432</v>
      </c>
      <c r="R22" s="20" t="str">
        <f>IF(J22 = $J$109, "11", IF(J22 = $J$108, "10", IF(J22 = $J$107, "01", IF(J22 = $J$106, "00", ""))))</f>
        <v>10</v>
      </c>
      <c r="S22" s="7" t="str">
        <f>IF(I22=$I$108,"10",IF(I22=$I$107,"01","00"))</f>
        <v>00</v>
      </c>
      <c r="T22" s="7" t="str">
        <f>IF(H22=$H$106,"000",IF(H22=$H$107,"001",IF(H22=$H$108,"010",IF(H22=$H$109,"011",IF(H22=$H$110,"100",IF(H22=$H$111,"101",IF(H22=$H$112,"110",IF(H22=$H$113,"111",""))))))))</f>
        <v>000</v>
      </c>
      <c r="U22" s="9" t="str">
        <f t="shared" si="0"/>
        <v>//0x00400000   Pinmode:SSP0_DO</v>
      </c>
      <c r="W22" s="1">
        <f t="shared" si="1"/>
        <v>0</v>
      </c>
      <c r="X22" s="1" t="str">
        <f t="shared" si="2"/>
        <v>SSP0_DO</v>
      </c>
      <c r="Z22" s="79" t="s">
        <v>129</v>
      </c>
      <c r="AA22" s="76" t="s">
        <v>37</v>
      </c>
      <c r="AB22" s="63" t="s">
        <v>129</v>
      </c>
      <c r="AC22" s="76" t="s">
        <v>37</v>
      </c>
      <c r="AD22" s="63" t="s">
        <v>129</v>
      </c>
      <c r="AE22" s="76" t="s">
        <v>37</v>
      </c>
      <c r="AF22" s="63" t="s">
        <v>129</v>
      </c>
      <c r="AG22" s="76" t="s">
        <v>37</v>
      </c>
      <c r="AH22" s="63" t="s">
        <v>129</v>
      </c>
      <c r="AI22" s="76" t="s">
        <v>37</v>
      </c>
      <c r="AJ22" s="63" t="s">
        <v>129</v>
      </c>
      <c r="AK22" s="76" t="s">
        <v>37</v>
      </c>
      <c r="AL22" s="63" t="s">
        <v>129</v>
      </c>
      <c r="AM22" s="76" t="s">
        <v>37</v>
      </c>
      <c r="AN22" s="63" t="s">
        <v>129</v>
      </c>
      <c r="AO22" s="77" t="s">
        <v>37</v>
      </c>
    </row>
    <row r="23" spans="2:41" x14ac:dyDescent="0.2">
      <c r="B23" s="10" t="s">
        <v>272</v>
      </c>
      <c r="C23" s="13" t="s">
        <v>43</v>
      </c>
      <c r="D23" s="12" t="s">
        <v>93</v>
      </c>
      <c r="E23" s="71" t="str">
        <f t="shared" si="3"/>
        <v>0x0244</v>
      </c>
      <c r="F23" s="13" t="s">
        <v>352</v>
      </c>
      <c r="G23" s="13" t="s">
        <v>321</v>
      </c>
      <c r="H23" s="7" t="s">
        <v>51</v>
      </c>
      <c r="I23" s="7" t="s">
        <v>14</v>
      </c>
      <c r="J23" s="24" t="s">
        <v>15</v>
      </c>
      <c r="K23" s="95"/>
      <c r="L23" s="93" t="s">
        <v>78</v>
      </c>
      <c r="M23" s="23" t="s">
        <v>235</v>
      </c>
      <c r="N23" s="7" t="s">
        <v>236</v>
      </c>
      <c r="O23" s="7" t="s">
        <v>429</v>
      </c>
      <c r="P23" s="9" t="s">
        <v>432</v>
      </c>
      <c r="R23" s="20" t="str">
        <f>IF(J23 = $J$109, "11", IF(J23 = $J$108, "10", IF(J23 = $J$107, "01", IF(J23 = $J$106, "00", ""))))</f>
        <v>10</v>
      </c>
      <c r="S23" s="7" t="str">
        <f>IF(I23=$I$108,"10",IF(I23=$I$107,"01","00"))</f>
        <v>00</v>
      </c>
      <c r="T23" s="7" t="str">
        <f>IF(H23=$H$106,"000",IF(H23=$H$107,"001",IF(H23=$H$108,"010",IF(H23=$H$109,"011",IF(H23=$H$110,"100",IF(H23=$H$111,"101",IF(H23=$H$112,"110",IF(H23=$H$113,"111",""))))))))</f>
        <v>001</v>
      </c>
      <c r="U23" s="9" t="str">
        <f t="shared" si="0"/>
        <v>//0x00400001   Pinmode:DPI_DATAO[13]</v>
      </c>
      <c r="W23" s="1">
        <f t="shared" si="1"/>
        <v>1</v>
      </c>
      <c r="X23" s="1" t="str">
        <f t="shared" si="2"/>
        <v>DPI_DATAO[13]</v>
      </c>
      <c r="Z23" s="79" t="s">
        <v>155</v>
      </c>
      <c r="AA23" s="76" t="s">
        <v>120</v>
      </c>
      <c r="AB23" s="64" t="s">
        <v>156</v>
      </c>
      <c r="AC23" s="76" t="s">
        <v>37</v>
      </c>
      <c r="AD23" s="63" t="s">
        <v>155</v>
      </c>
      <c r="AE23" s="76" t="s">
        <v>120</v>
      </c>
      <c r="AF23" s="63" t="s">
        <v>155</v>
      </c>
      <c r="AG23" s="76" t="s">
        <v>120</v>
      </c>
      <c r="AH23" s="63" t="s">
        <v>155</v>
      </c>
      <c r="AI23" s="76" t="s">
        <v>120</v>
      </c>
      <c r="AJ23" s="63" t="s">
        <v>155</v>
      </c>
      <c r="AK23" s="76" t="s">
        <v>37</v>
      </c>
      <c r="AL23" s="63" t="s">
        <v>155</v>
      </c>
      <c r="AM23" s="76" t="s">
        <v>120</v>
      </c>
      <c r="AN23" s="63" t="s">
        <v>155</v>
      </c>
      <c r="AO23" s="77" t="s">
        <v>120</v>
      </c>
    </row>
    <row r="24" spans="2:41" x14ac:dyDescent="0.2">
      <c r="B24" s="10" t="s">
        <v>273</v>
      </c>
      <c r="C24" s="13" t="s">
        <v>44</v>
      </c>
      <c r="D24" s="12" t="s">
        <v>93</v>
      </c>
      <c r="E24" s="71" t="str">
        <f t="shared" si="3"/>
        <v>0x0248</v>
      </c>
      <c r="F24" s="13" t="s">
        <v>353</v>
      </c>
      <c r="G24" s="13" t="s">
        <v>321</v>
      </c>
      <c r="H24" s="7" t="s">
        <v>51</v>
      </c>
      <c r="I24" s="7" t="s">
        <v>14</v>
      </c>
      <c r="J24" s="24" t="s">
        <v>15</v>
      </c>
      <c r="K24" s="95"/>
      <c r="L24" s="93" t="s">
        <v>78</v>
      </c>
      <c r="M24" s="23" t="s">
        <v>235</v>
      </c>
      <c r="N24" s="7" t="s">
        <v>236</v>
      </c>
      <c r="O24" s="7" t="s">
        <v>429</v>
      </c>
      <c r="P24" s="9" t="s">
        <v>432</v>
      </c>
      <c r="R24" s="20" t="str">
        <f>IF(J24 = $J$109, "11", IF(J24 = $J$108, "10", IF(J24 = $J$107, "01", IF(J24 = $J$106, "00", ""))))</f>
        <v>10</v>
      </c>
      <c r="S24" s="7" t="str">
        <f>IF(I24=$I$108,"10",IF(I24=$I$107,"01","00"))</f>
        <v>00</v>
      </c>
      <c r="T24" s="7" t="str">
        <f>IF(H24=$H$106,"000",IF(H24=$H$107,"001",IF(H24=$H$108,"010",IF(H24=$H$109,"011",IF(H24=$H$110,"100",IF(H24=$H$111,"101",IF(H24=$H$112,"110",IF(H24=$H$113,"111",""))))))))</f>
        <v>001</v>
      </c>
      <c r="U24" s="9" t="str">
        <f t="shared" si="0"/>
        <v>//0x00400001   Pinmode:DPI_DATAO[14]</v>
      </c>
      <c r="W24" s="1">
        <f t="shared" si="1"/>
        <v>1</v>
      </c>
      <c r="X24" s="1" t="str">
        <f t="shared" si="2"/>
        <v>DPI_DATAO[14]</v>
      </c>
      <c r="Z24" s="79" t="s">
        <v>157</v>
      </c>
      <c r="AA24" s="76" t="s">
        <v>120</v>
      </c>
      <c r="AB24" s="64" t="s">
        <v>158</v>
      </c>
      <c r="AC24" s="76" t="s">
        <v>37</v>
      </c>
      <c r="AD24" s="63" t="s">
        <v>157</v>
      </c>
      <c r="AE24" s="76" t="s">
        <v>120</v>
      </c>
      <c r="AF24" s="63" t="s">
        <v>157</v>
      </c>
      <c r="AG24" s="76" t="s">
        <v>120</v>
      </c>
      <c r="AH24" s="63" t="s">
        <v>157</v>
      </c>
      <c r="AI24" s="76" t="s">
        <v>120</v>
      </c>
      <c r="AJ24" s="63" t="s">
        <v>157</v>
      </c>
      <c r="AK24" s="76" t="s">
        <v>37</v>
      </c>
      <c r="AL24" s="63" t="s">
        <v>157</v>
      </c>
      <c r="AM24" s="76" t="s">
        <v>120</v>
      </c>
      <c r="AN24" s="63" t="s">
        <v>157</v>
      </c>
      <c r="AO24" s="77" t="s">
        <v>120</v>
      </c>
    </row>
    <row r="25" spans="2:41" x14ac:dyDescent="0.2">
      <c r="B25" s="10" t="s">
        <v>274</v>
      </c>
      <c r="C25" s="13" t="s">
        <v>45</v>
      </c>
      <c r="D25" s="12" t="s">
        <v>93</v>
      </c>
      <c r="E25" s="71" t="str">
        <f t="shared" si="3"/>
        <v>0x024C</v>
      </c>
      <c r="F25" s="13" t="s">
        <v>354</v>
      </c>
      <c r="G25" s="13" t="s">
        <v>321</v>
      </c>
      <c r="H25" s="7" t="s">
        <v>51</v>
      </c>
      <c r="I25" s="7" t="s">
        <v>14</v>
      </c>
      <c r="J25" s="24" t="s">
        <v>15</v>
      </c>
      <c r="K25" s="95"/>
      <c r="L25" s="93" t="s">
        <v>78</v>
      </c>
      <c r="M25" s="23" t="s">
        <v>235</v>
      </c>
      <c r="N25" s="7" t="s">
        <v>236</v>
      </c>
      <c r="O25" s="7" t="s">
        <v>429</v>
      </c>
      <c r="P25" s="9" t="s">
        <v>432</v>
      </c>
      <c r="R25" s="20" t="str">
        <f>IF(J25 = $J$109, "11", IF(J25 = $J$108, "10", IF(J25 = $J$107, "01", IF(J25 = $J$106, "00", ""))))</f>
        <v>10</v>
      </c>
      <c r="S25" s="7" t="str">
        <f>IF(I25=$I$108,"10",IF(I25=$I$107,"01","00"))</f>
        <v>00</v>
      </c>
      <c r="T25" s="7" t="str">
        <f>IF(H25=$H$106,"000",IF(H25=$H$107,"001",IF(H25=$H$108,"010",IF(H25=$H$109,"011",IF(H25=$H$110,"100",IF(H25=$H$111,"101",IF(H25=$H$112,"110",IF(H25=$H$113,"111",""))))))))</f>
        <v>001</v>
      </c>
      <c r="U25" s="9" t="str">
        <f t="shared" si="0"/>
        <v>//0x00400001   Pinmode:DPI_DATAO[15]</v>
      </c>
      <c r="W25" s="1">
        <f t="shared" si="1"/>
        <v>1</v>
      </c>
      <c r="X25" s="1" t="str">
        <f t="shared" si="2"/>
        <v>DPI_DATAO[15]</v>
      </c>
      <c r="Z25" s="79" t="s">
        <v>159</v>
      </c>
      <c r="AA25" s="76" t="s">
        <v>32</v>
      </c>
      <c r="AB25" s="64" t="s">
        <v>160</v>
      </c>
      <c r="AC25" s="76" t="s">
        <v>37</v>
      </c>
      <c r="AD25" s="63" t="s">
        <v>159</v>
      </c>
      <c r="AE25" s="76" t="s">
        <v>32</v>
      </c>
      <c r="AF25" s="63" t="s">
        <v>159</v>
      </c>
      <c r="AG25" s="76" t="s">
        <v>32</v>
      </c>
      <c r="AH25" s="63" t="s">
        <v>159</v>
      </c>
      <c r="AI25" s="76" t="s">
        <v>32</v>
      </c>
      <c r="AJ25" s="63" t="s">
        <v>159</v>
      </c>
      <c r="AK25" s="76" t="s">
        <v>37</v>
      </c>
      <c r="AL25" s="63" t="s">
        <v>159</v>
      </c>
      <c r="AM25" s="76" t="s">
        <v>32</v>
      </c>
      <c r="AN25" s="63" t="s">
        <v>159</v>
      </c>
      <c r="AO25" s="77" t="s">
        <v>32</v>
      </c>
    </row>
    <row r="26" spans="2:41" x14ac:dyDescent="0.2">
      <c r="B26" s="10" t="s">
        <v>275</v>
      </c>
      <c r="C26" s="13" t="s">
        <v>46</v>
      </c>
      <c r="D26" s="12" t="s">
        <v>93</v>
      </c>
      <c r="E26" s="71" t="str">
        <f t="shared" si="3"/>
        <v>0x0250</v>
      </c>
      <c r="F26" s="13" t="s">
        <v>355</v>
      </c>
      <c r="G26" s="13" t="s">
        <v>321</v>
      </c>
      <c r="H26" s="7" t="s">
        <v>51</v>
      </c>
      <c r="I26" s="7" t="s">
        <v>14</v>
      </c>
      <c r="J26" s="24" t="s">
        <v>15</v>
      </c>
      <c r="K26" s="95"/>
      <c r="L26" s="93" t="s">
        <v>78</v>
      </c>
      <c r="M26" s="23" t="s">
        <v>235</v>
      </c>
      <c r="N26" s="7" t="s">
        <v>236</v>
      </c>
      <c r="O26" s="7" t="s">
        <v>429</v>
      </c>
      <c r="P26" s="9" t="s">
        <v>432</v>
      </c>
      <c r="R26" s="20" t="str">
        <f>IF(J26 = $J$109, "11", IF(J26 = $J$108, "10", IF(J26 = $J$107, "01", IF(J26 = $J$106, "00", ""))))</f>
        <v>10</v>
      </c>
      <c r="S26" s="7" t="str">
        <f>IF(I26=$I$108,"10",IF(I26=$I$107,"01","00"))</f>
        <v>00</v>
      </c>
      <c r="T26" s="7" t="str">
        <f>IF(H26=$H$106,"000",IF(H26=$H$107,"001",IF(H26=$H$108,"010",IF(H26=$H$109,"011",IF(H26=$H$110,"100",IF(H26=$H$111,"101",IF(H26=$H$112,"110",IF(H26=$H$113,"111",""))))))))</f>
        <v>001</v>
      </c>
      <c r="U26" s="9" t="str">
        <f t="shared" si="0"/>
        <v>//0x00400001   Pinmode:DPI_DATAO[16]</v>
      </c>
      <c r="W26" s="1">
        <f t="shared" si="1"/>
        <v>1</v>
      </c>
      <c r="X26" s="1" t="str">
        <f t="shared" si="2"/>
        <v>DPI_DATAO[16]</v>
      </c>
      <c r="Z26" s="79" t="s">
        <v>161</v>
      </c>
      <c r="AA26" s="76" t="s">
        <v>37</v>
      </c>
      <c r="AB26" s="64" t="s">
        <v>162</v>
      </c>
      <c r="AC26" s="76" t="s">
        <v>37</v>
      </c>
      <c r="AD26" s="63" t="s">
        <v>161</v>
      </c>
      <c r="AE26" s="76" t="s">
        <v>37</v>
      </c>
      <c r="AF26" s="63" t="s">
        <v>161</v>
      </c>
      <c r="AG26" s="76" t="s">
        <v>37</v>
      </c>
      <c r="AH26" s="63" t="s">
        <v>161</v>
      </c>
      <c r="AI26" s="76" t="s">
        <v>37</v>
      </c>
      <c r="AJ26" s="63" t="s">
        <v>161</v>
      </c>
      <c r="AK26" s="76" t="s">
        <v>37</v>
      </c>
      <c r="AL26" s="63" t="s">
        <v>161</v>
      </c>
      <c r="AM26" s="76" t="s">
        <v>37</v>
      </c>
      <c r="AN26" s="63" t="s">
        <v>161</v>
      </c>
      <c r="AO26" s="77" t="s">
        <v>37</v>
      </c>
    </row>
    <row r="27" spans="2:41" x14ac:dyDescent="0.2">
      <c r="B27" s="10" t="s">
        <v>276</v>
      </c>
      <c r="C27" s="13" t="s">
        <v>47</v>
      </c>
      <c r="D27" s="12" t="s">
        <v>93</v>
      </c>
      <c r="E27" s="71" t="str">
        <f t="shared" si="3"/>
        <v>0x0254</v>
      </c>
      <c r="F27" s="13" t="s">
        <v>472</v>
      </c>
      <c r="G27" s="13" t="s">
        <v>321</v>
      </c>
      <c r="H27" s="7" t="s">
        <v>51</v>
      </c>
      <c r="I27" s="7" t="s">
        <v>14</v>
      </c>
      <c r="J27" s="24" t="s">
        <v>15</v>
      </c>
      <c r="K27" s="95"/>
      <c r="L27" s="93" t="s">
        <v>78</v>
      </c>
      <c r="M27" s="23" t="s">
        <v>235</v>
      </c>
      <c r="N27" s="7" t="s">
        <v>236</v>
      </c>
      <c r="O27" s="7" t="s">
        <v>429</v>
      </c>
      <c r="P27" s="9" t="s">
        <v>432</v>
      </c>
      <c r="R27" s="20" t="str">
        <f>IF(J27 = $J$109, "11", IF(J27 = $J$108, "10", IF(J27 = $J$107, "01", IF(J27 = $J$106, "00", ""))))</f>
        <v>10</v>
      </c>
      <c r="S27" s="7" t="str">
        <f>IF(I27=$I$108,"10",IF(I27=$I$107,"01","00"))</f>
        <v>00</v>
      </c>
      <c r="T27" s="7" t="str">
        <f>IF(H27=$H$106,"000",IF(H27=$H$107,"001",IF(H27=$H$108,"010",IF(H27=$H$109,"011",IF(H27=$H$110,"100",IF(H27=$H$111,"101",IF(H27=$H$112,"110",IF(H27=$H$113,"111",""))))))))</f>
        <v>001</v>
      </c>
      <c r="U27" s="9" t="str">
        <f t="shared" si="0"/>
        <v>//0x00400001   Pinmode:DPI_DATAO[17]</v>
      </c>
      <c r="W27" s="1">
        <f t="shared" si="1"/>
        <v>1</v>
      </c>
      <c r="X27" s="1" t="str">
        <f t="shared" si="2"/>
        <v>DPI_DATAO[17]</v>
      </c>
      <c r="Z27" s="79" t="s">
        <v>163</v>
      </c>
      <c r="AA27" s="76" t="s">
        <v>37</v>
      </c>
      <c r="AB27" s="64" t="s">
        <v>164</v>
      </c>
      <c r="AC27" s="76" t="s">
        <v>37</v>
      </c>
      <c r="AD27" s="63" t="s">
        <v>163</v>
      </c>
      <c r="AE27" s="76" t="s">
        <v>37</v>
      </c>
      <c r="AF27" s="63" t="s">
        <v>163</v>
      </c>
      <c r="AG27" s="76" t="s">
        <v>37</v>
      </c>
      <c r="AH27" s="63" t="s">
        <v>163</v>
      </c>
      <c r="AI27" s="76" t="s">
        <v>37</v>
      </c>
      <c r="AJ27" s="63" t="s">
        <v>163</v>
      </c>
      <c r="AK27" s="76" t="s">
        <v>37</v>
      </c>
      <c r="AL27" s="63" t="s">
        <v>163</v>
      </c>
      <c r="AM27" s="76" t="s">
        <v>37</v>
      </c>
      <c r="AN27" s="63" t="s">
        <v>163</v>
      </c>
      <c r="AO27" s="77" t="s">
        <v>37</v>
      </c>
    </row>
    <row r="28" spans="2:41" x14ac:dyDescent="0.2">
      <c r="B28" s="10" t="s">
        <v>302</v>
      </c>
      <c r="C28" s="13" t="s">
        <v>48</v>
      </c>
      <c r="D28" s="12" t="s">
        <v>93</v>
      </c>
      <c r="E28" s="71" t="str">
        <f t="shared" si="3"/>
        <v>0x0258</v>
      </c>
      <c r="F28" s="13" t="s">
        <v>356</v>
      </c>
      <c r="G28" s="13" t="s">
        <v>321</v>
      </c>
      <c r="H28" s="7" t="s">
        <v>18</v>
      </c>
      <c r="I28" s="7" t="s">
        <v>14</v>
      </c>
      <c r="J28" s="24" t="s">
        <v>15</v>
      </c>
      <c r="K28" s="95"/>
      <c r="L28" s="93" t="s">
        <v>78</v>
      </c>
      <c r="M28" s="23" t="s">
        <v>235</v>
      </c>
      <c r="N28" s="7" t="s">
        <v>236</v>
      </c>
      <c r="O28" s="7" t="s">
        <v>429</v>
      </c>
      <c r="P28" s="9" t="s">
        <v>432</v>
      </c>
      <c r="R28" s="20" t="str">
        <f>IF(J28 = $J$109, "11", IF(J28 = $J$108, "10", IF(J28 = $J$107, "01", IF(J28 = $J$106, "00", ""))))</f>
        <v>10</v>
      </c>
      <c r="S28" s="7" t="str">
        <f>IF(I28=$I$108,"10",IF(I28=$I$107,"01","00"))</f>
        <v>00</v>
      </c>
      <c r="T28" s="7" t="str">
        <f>IF(H28=$H$106,"000",IF(H28=$H$107,"001",IF(H28=$H$108,"010",IF(H28=$H$109,"011",IF(H28=$H$110,"100",IF(H28=$H$111,"101",IF(H28=$H$112,"110",IF(H28=$H$113,"111",""))))))))</f>
        <v>000</v>
      </c>
      <c r="U28" s="9" t="str">
        <f t="shared" si="0"/>
        <v>//0x00400000   Pinmode:MCU_JTAG_TRST_N</v>
      </c>
      <c r="W28" s="1">
        <f t="shared" si="1"/>
        <v>0</v>
      </c>
      <c r="X28" s="1" t="str">
        <f t="shared" si="2"/>
        <v>MCU_JTAG_TRST_N</v>
      </c>
      <c r="Z28" s="81" t="s">
        <v>151</v>
      </c>
      <c r="AA28" s="76" t="s">
        <v>32</v>
      </c>
      <c r="AB28" s="65" t="s">
        <v>206</v>
      </c>
      <c r="AC28" s="76" t="s">
        <v>32</v>
      </c>
      <c r="AD28" s="65" t="s">
        <v>206</v>
      </c>
      <c r="AE28" s="76" t="s">
        <v>32</v>
      </c>
      <c r="AF28" s="56" t="s">
        <v>121</v>
      </c>
      <c r="AG28" s="76" t="s">
        <v>32</v>
      </c>
      <c r="AH28" s="63" t="s">
        <v>126</v>
      </c>
      <c r="AI28" s="76" t="s">
        <v>120</v>
      </c>
      <c r="AJ28" s="65" t="s">
        <v>206</v>
      </c>
      <c r="AK28" s="76" t="s">
        <v>32</v>
      </c>
      <c r="AL28" s="58" t="s">
        <v>207</v>
      </c>
      <c r="AM28" s="76" t="s">
        <v>37</v>
      </c>
      <c r="AN28" s="59" t="s">
        <v>445</v>
      </c>
      <c r="AO28" s="77" t="s">
        <v>120</v>
      </c>
    </row>
    <row r="29" spans="2:41" x14ac:dyDescent="0.2">
      <c r="B29" s="10" t="s">
        <v>303</v>
      </c>
      <c r="C29" s="13" t="s">
        <v>28</v>
      </c>
      <c r="D29" s="12" t="s">
        <v>93</v>
      </c>
      <c r="E29" s="71" t="str">
        <f t="shared" si="3"/>
        <v>0x025C</v>
      </c>
      <c r="F29" s="13" t="s">
        <v>357</v>
      </c>
      <c r="G29" s="13" t="s">
        <v>321</v>
      </c>
      <c r="H29" s="7" t="s">
        <v>18</v>
      </c>
      <c r="I29" s="7" t="s">
        <v>14</v>
      </c>
      <c r="J29" s="24" t="s">
        <v>15</v>
      </c>
      <c r="K29" s="95"/>
      <c r="L29" s="93" t="s">
        <v>78</v>
      </c>
      <c r="M29" s="23" t="s">
        <v>235</v>
      </c>
      <c r="N29" s="7" t="s">
        <v>236</v>
      </c>
      <c r="O29" s="7" t="s">
        <v>429</v>
      </c>
      <c r="P29" s="9" t="s">
        <v>432</v>
      </c>
      <c r="R29" s="20" t="str">
        <f>IF(J29 = $J$109, "11", IF(J29 = $J$108, "10", IF(J29 = $J$107, "01", IF(J29 = $J$106, "00", ""))))</f>
        <v>10</v>
      </c>
      <c r="S29" s="7" t="str">
        <f>IF(I29=$I$108,"10",IF(I29=$I$107,"01","00"))</f>
        <v>00</v>
      </c>
      <c r="T29" s="7" t="str">
        <f>IF(H29=$H$106,"000",IF(H29=$H$107,"001",IF(H29=$H$108,"010",IF(H29=$H$109,"011",IF(H29=$H$110,"100",IF(H29=$H$111,"101",IF(H29=$H$112,"110",IF(H29=$H$113,"111",""))))))))</f>
        <v>000</v>
      </c>
      <c r="U29" s="9" t="str">
        <f t="shared" si="0"/>
        <v>//0x00400000   Pinmode:MCU_JTAG_TDI</v>
      </c>
      <c r="W29" s="1">
        <f t="shared" si="1"/>
        <v>0</v>
      </c>
      <c r="X29" s="1" t="str">
        <f t="shared" si="2"/>
        <v>MCU_JTAG_TDI</v>
      </c>
      <c r="Z29" s="81" t="s">
        <v>153</v>
      </c>
      <c r="AA29" s="76" t="s">
        <v>32</v>
      </c>
      <c r="AB29" s="65" t="s">
        <v>208</v>
      </c>
      <c r="AC29" s="76" t="s">
        <v>32</v>
      </c>
      <c r="AD29" s="65" t="s">
        <v>208</v>
      </c>
      <c r="AE29" s="76" t="s">
        <v>32</v>
      </c>
      <c r="AF29" s="56" t="s">
        <v>121</v>
      </c>
      <c r="AG29" s="76" t="s">
        <v>32</v>
      </c>
      <c r="AH29" s="63" t="s">
        <v>127</v>
      </c>
      <c r="AI29" s="76" t="s">
        <v>32</v>
      </c>
      <c r="AJ29" s="65" t="s">
        <v>208</v>
      </c>
      <c r="AK29" s="76" t="s">
        <v>32</v>
      </c>
      <c r="AL29" s="58" t="s">
        <v>209</v>
      </c>
      <c r="AM29" s="76" t="s">
        <v>37</v>
      </c>
      <c r="AN29" s="59" t="s">
        <v>446</v>
      </c>
      <c r="AO29" s="77" t="s">
        <v>120</v>
      </c>
    </row>
    <row r="30" spans="2:41" x14ac:dyDescent="0.2">
      <c r="B30" s="10" t="s">
        <v>304</v>
      </c>
      <c r="C30" s="13" t="s">
        <v>30</v>
      </c>
      <c r="D30" s="12" t="s">
        <v>93</v>
      </c>
      <c r="E30" s="71" t="str">
        <f t="shared" si="3"/>
        <v>0x0260</v>
      </c>
      <c r="F30" s="13" t="s">
        <v>358</v>
      </c>
      <c r="G30" s="13" t="s">
        <v>321</v>
      </c>
      <c r="H30" s="7" t="s">
        <v>18</v>
      </c>
      <c r="I30" s="7" t="s">
        <v>14</v>
      </c>
      <c r="J30" s="24" t="s">
        <v>15</v>
      </c>
      <c r="K30" s="95"/>
      <c r="L30" s="93" t="s">
        <v>78</v>
      </c>
      <c r="M30" s="23" t="s">
        <v>235</v>
      </c>
      <c r="N30" s="7" t="s">
        <v>236</v>
      </c>
      <c r="O30" s="7" t="s">
        <v>429</v>
      </c>
      <c r="P30" s="9" t="s">
        <v>432</v>
      </c>
      <c r="R30" s="20" t="str">
        <f>IF(J30 = $J$109, "11", IF(J30 = $J$108, "10", IF(J30 = $J$107, "01", IF(J30 = $J$106, "00", ""))))</f>
        <v>10</v>
      </c>
      <c r="S30" s="7" t="str">
        <f>IF(I30=$I$108,"10",IF(I30=$I$107,"01","00"))</f>
        <v>00</v>
      </c>
      <c r="T30" s="7" t="str">
        <f>IF(H30=$H$106,"000",IF(H30=$H$107,"001",IF(H30=$H$108,"010",IF(H30=$H$109,"011",IF(H30=$H$110,"100",IF(H30=$H$111,"101",IF(H30=$H$112,"110",IF(H30=$H$113,"111",""))))))))</f>
        <v>000</v>
      </c>
      <c r="U30" s="9" t="str">
        <f t="shared" si="0"/>
        <v>//0x00400000   Pinmode:MCU_JTAG_TMS</v>
      </c>
      <c r="W30" s="1">
        <f t="shared" si="1"/>
        <v>0</v>
      </c>
      <c r="X30" s="1" t="str">
        <f t="shared" si="2"/>
        <v>MCU_JTAG_TMS</v>
      </c>
      <c r="Z30" s="81" t="s">
        <v>193</v>
      </c>
      <c r="AA30" s="76" t="s">
        <v>32</v>
      </c>
      <c r="AB30" s="65" t="s">
        <v>210</v>
      </c>
      <c r="AC30" s="76" t="s">
        <v>32</v>
      </c>
      <c r="AD30" s="65" t="s">
        <v>210</v>
      </c>
      <c r="AE30" s="76" t="s">
        <v>32</v>
      </c>
      <c r="AF30" s="56" t="s">
        <v>121</v>
      </c>
      <c r="AG30" s="76" t="s">
        <v>32</v>
      </c>
      <c r="AH30" s="63" t="s">
        <v>128</v>
      </c>
      <c r="AI30" s="76" t="s">
        <v>32</v>
      </c>
      <c r="AJ30" s="65" t="s">
        <v>210</v>
      </c>
      <c r="AK30" s="76" t="s">
        <v>32</v>
      </c>
      <c r="AL30" s="58" t="s">
        <v>211</v>
      </c>
      <c r="AM30" s="76" t="s">
        <v>37</v>
      </c>
      <c r="AN30" s="59" t="s">
        <v>447</v>
      </c>
      <c r="AO30" s="77" t="s">
        <v>120</v>
      </c>
    </row>
    <row r="31" spans="2:41" x14ac:dyDescent="0.2">
      <c r="B31" s="10" t="s">
        <v>305</v>
      </c>
      <c r="C31" s="13" t="s">
        <v>31</v>
      </c>
      <c r="D31" s="12" t="s">
        <v>93</v>
      </c>
      <c r="E31" s="71" t="str">
        <f t="shared" si="3"/>
        <v>0x0264</v>
      </c>
      <c r="F31" s="13" t="s">
        <v>359</v>
      </c>
      <c r="G31" s="13" t="s">
        <v>321</v>
      </c>
      <c r="H31" s="7" t="s">
        <v>18</v>
      </c>
      <c r="I31" s="7" t="s">
        <v>14</v>
      </c>
      <c r="J31" s="24" t="s">
        <v>15</v>
      </c>
      <c r="K31" s="95"/>
      <c r="L31" s="93" t="s">
        <v>78</v>
      </c>
      <c r="M31" s="23" t="s">
        <v>235</v>
      </c>
      <c r="N31" s="7" t="s">
        <v>236</v>
      </c>
      <c r="O31" s="7" t="s">
        <v>429</v>
      </c>
      <c r="P31" s="9" t="s">
        <v>432</v>
      </c>
      <c r="R31" s="20" t="str">
        <f>IF(J31 = $J$109, "11", IF(J31 = $J$108, "10", IF(J31 = $J$107, "01", IF(J31 = $J$106, "00", ""))))</f>
        <v>10</v>
      </c>
      <c r="S31" s="7" t="str">
        <f>IF(I31=$I$108,"10",IF(I31=$I$107,"01","00"))</f>
        <v>00</v>
      </c>
      <c r="T31" s="7" t="str">
        <f>IF(H31=$H$106,"000",IF(H31=$H$107,"001",IF(H31=$H$108,"010",IF(H31=$H$109,"011",IF(H31=$H$110,"100",IF(H31=$H$111,"101",IF(H31=$H$112,"110",IF(H31=$H$113,"111",""))))))))</f>
        <v>000</v>
      </c>
      <c r="U31" s="9" t="str">
        <f t="shared" si="0"/>
        <v>//0x00400000   Pinmode:MCU_JTAG_TCK</v>
      </c>
      <c r="W31" s="1">
        <f t="shared" si="1"/>
        <v>0</v>
      </c>
      <c r="X31" s="1" t="str">
        <f t="shared" si="2"/>
        <v>MCU_JTAG_TCK</v>
      </c>
      <c r="Z31" s="81" t="s">
        <v>196</v>
      </c>
      <c r="AA31" s="76" t="s">
        <v>32</v>
      </c>
      <c r="AB31" s="65" t="s">
        <v>212</v>
      </c>
      <c r="AC31" s="76" t="s">
        <v>37</v>
      </c>
      <c r="AD31" s="65" t="s">
        <v>212</v>
      </c>
      <c r="AE31" s="76" t="s">
        <v>37</v>
      </c>
      <c r="AF31" s="56" t="s">
        <v>121</v>
      </c>
      <c r="AG31" s="76" t="s">
        <v>32</v>
      </c>
      <c r="AH31" s="63" t="s">
        <v>129</v>
      </c>
      <c r="AI31" s="76" t="s">
        <v>37</v>
      </c>
      <c r="AJ31" s="65" t="s">
        <v>212</v>
      </c>
      <c r="AK31" s="76" t="s">
        <v>37</v>
      </c>
      <c r="AL31" s="58" t="s">
        <v>213</v>
      </c>
      <c r="AM31" s="76" t="s">
        <v>37</v>
      </c>
      <c r="AN31" s="59" t="s">
        <v>448</v>
      </c>
      <c r="AO31" s="77" t="s">
        <v>120</v>
      </c>
    </row>
    <row r="32" spans="2:41" x14ac:dyDescent="0.2">
      <c r="B32" s="10" t="s">
        <v>264</v>
      </c>
      <c r="C32" s="13" t="s">
        <v>39</v>
      </c>
      <c r="D32" s="12" t="s">
        <v>93</v>
      </c>
      <c r="E32" s="71" t="str">
        <f>"0x0"&amp;DEC2HEX(4+HEX2DEC(RIGHT(E31, 4)))</f>
        <v>0x0268</v>
      </c>
      <c r="F32" s="13" t="s">
        <v>365</v>
      </c>
      <c r="G32" s="13" t="s">
        <v>321</v>
      </c>
      <c r="H32" s="7" t="s">
        <v>18</v>
      </c>
      <c r="I32" s="7" t="s">
        <v>14</v>
      </c>
      <c r="J32" s="24" t="s">
        <v>15</v>
      </c>
      <c r="K32" s="95"/>
      <c r="L32" s="93" t="s">
        <v>78</v>
      </c>
      <c r="M32" s="23" t="s">
        <v>235</v>
      </c>
      <c r="N32" s="7" t="s">
        <v>236</v>
      </c>
      <c r="O32" s="7" t="s">
        <v>429</v>
      </c>
      <c r="P32" s="9" t="s">
        <v>432</v>
      </c>
      <c r="R32" s="20" t="str">
        <f>IF(J32 = $J$109, "11", IF(J32 = $J$108, "10", IF(J32 = $J$107, "01", IF(J32 = $J$106, "00", ""))))</f>
        <v>10</v>
      </c>
      <c r="S32" s="7" t="str">
        <f>IF(I32=$I$108,"10",IF(I32=$I$107,"01","00"))</f>
        <v>00</v>
      </c>
      <c r="T32" s="7" t="str">
        <f>IF(H32=$H$106,"000",IF(H32=$H$107,"001",IF(H32=$H$108,"010",IF(H32=$H$109,"011",IF(H32=$H$110,"100",IF(H32=$H$111,"101",IF(H32=$H$112,"110",IF(H32=$H$113,"111",""))))))))</f>
        <v>000</v>
      </c>
      <c r="U32" s="9" t="str">
        <f>"//0x"&amp;DEC2HEX(BIN2DEC(R32)*2^21+BIN2DEC(S32)*2^16+BIN2DEC(T32),8)&amp;"   Pinmode:"&amp;Pinmode</f>
        <v>//0x00400000   Pinmode:UART0_TX</v>
      </c>
      <c r="W32" s="1">
        <f>BIN2DEC(T32)</f>
        <v>0</v>
      </c>
      <c r="X32" s="1" t="str">
        <f>INDEX(Z32:AO32, 1,1+W32*2)</f>
        <v>UART0_TX</v>
      </c>
      <c r="Z32" s="84" t="s">
        <v>24</v>
      </c>
      <c r="AA32" s="76" t="s">
        <v>37</v>
      </c>
      <c r="AB32" s="60" t="s">
        <v>130</v>
      </c>
      <c r="AC32" s="76" t="s">
        <v>37</v>
      </c>
      <c r="AD32" s="60" t="s">
        <v>130</v>
      </c>
      <c r="AE32" s="76" t="s">
        <v>37</v>
      </c>
      <c r="AF32" s="60" t="s">
        <v>130</v>
      </c>
      <c r="AG32" s="76" t="s">
        <v>37</v>
      </c>
      <c r="AH32" s="60" t="s">
        <v>130</v>
      </c>
      <c r="AI32" s="76" t="s">
        <v>37</v>
      </c>
      <c r="AJ32" s="60" t="s">
        <v>130</v>
      </c>
      <c r="AK32" s="76" t="s">
        <v>37</v>
      </c>
      <c r="AL32" s="58" t="s">
        <v>131</v>
      </c>
      <c r="AM32" s="76" t="s">
        <v>37</v>
      </c>
      <c r="AN32" s="59" t="s">
        <v>454</v>
      </c>
      <c r="AO32" s="77" t="s">
        <v>120</v>
      </c>
    </row>
    <row r="33" spans="2:41" x14ac:dyDescent="0.2">
      <c r="B33" s="10" t="s">
        <v>265</v>
      </c>
      <c r="C33" s="13" t="s">
        <v>40</v>
      </c>
      <c r="D33" s="12" t="s">
        <v>93</v>
      </c>
      <c r="E33" s="71" t="str">
        <f>"0x0"&amp;DEC2HEX(4+HEX2DEC(RIGHT(E32, 4)))</f>
        <v>0x026C</v>
      </c>
      <c r="F33" s="13" t="s">
        <v>366</v>
      </c>
      <c r="G33" s="13" t="s">
        <v>321</v>
      </c>
      <c r="H33" s="7" t="s">
        <v>18</v>
      </c>
      <c r="I33" s="7" t="s">
        <v>14</v>
      </c>
      <c r="J33" s="24" t="s">
        <v>15</v>
      </c>
      <c r="K33" s="95"/>
      <c r="L33" s="93" t="s">
        <v>78</v>
      </c>
      <c r="M33" s="23" t="s">
        <v>235</v>
      </c>
      <c r="N33" s="7" t="s">
        <v>236</v>
      </c>
      <c r="O33" s="7" t="s">
        <v>429</v>
      </c>
      <c r="P33" s="9" t="s">
        <v>432</v>
      </c>
      <c r="R33" s="20" t="str">
        <f>IF(J33 = $J$109, "11", IF(J33 = $J$108, "10", IF(J33 = $J$107, "01", IF(J33 = $J$106, "00", ""))))</f>
        <v>10</v>
      </c>
      <c r="S33" s="7" t="str">
        <f>IF(I33=$I$108,"10",IF(I33=$I$107,"01","00"))</f>
        <v>00</v>
      </c>
      <c r="T33" s="7" t="str">
        <f>IF(H33=$H$106,"000",IF(H33=$H$107,"001",IF(H33=$H$108,"010",IF(H33=$H$109,"011",IF(H33=$H$110,"100",IF(H33=$H$111,"101",IF(H33=$H$112,"110",IF(H33=$H$113,"111",""))))))))</f>
        <v>000</v>
      </c>
      <c r="U33" s="9" t="str">
        <f>"//0x"&amp;DEC2HEX(BIN2DEC(R33)*2^21+BIN2DEC(S33)*2^16+BIN2DEC(T33),8)&amp;"   Pinmode:"&amp;Pinmode</f>
        <v>//0x00400000   Pinmode:UART0_RX</v>
      </c>
      <c r="W33" s="1">
        <f>BIN2DEC(T33)</f>
        <v>0</v>
      </c>
      <c r="X33" s="1" t="str">
        <f>INDEX(Z33:AO33, 1,1+W33*2)</f>
        <v>UART0_RX</v>
      </c>
      <c r="Z33" s="84" t="s">
        <v>21</v>
      </c>
      <c r="AA33" s="76" t="s">
        <v>32</v>
      </c>
      <c r="AB33" s="60" t="s">
        <v>132</v>
      </c>
      <c r="AC33" s="76" t="s">
        <v>32</v>
      </c>
      <c r="AD33" s="60" t="s">
        <v>132</v>
      </c>
      <c r="AE33" s="76" t="s">
        <v>32</v>
      </c>
      <c r="AF33" s="56" t="s">
        <v>121</v>
      </c>
      <c r="AG33" s="76" t="s">
        <v>32</v>
      </c>
      <c r="AH33" s="60" t="s">
        <v>132</v>
      </c>
      <c r="AI33" s="76" t="s">
        <v>32</v>
      </c>
      <c r="AJ33" s="60" t="s">
        <v>132</v>
      </c>
      <c r="AK33" s="76" t="s">
        <v>32</v>
      </c>
      <c r="AL33" s="58" t="s">
        <v>133</v>
      </c>
      <c r="AM33" s="76" t="s">
        <v>37</v>
      </c>
      <c r="AN33" s="59" t="s">
        <v>455</v>
      </c>
      <c r="AO33" s="77" t="s">
        <v>120</v>
      </c>
    </row>
    <row r="34" spans="2:41" s="32" customFormat="1" x14ac:dyDescent="0.2">
      <c r="B34" s="10" t="s">
        <v>296</v>
      </c>
      <c r="C34" s="13" t="s">
        <v>33</v>
      </c>
      <c r="D34" s="12" t="s">
        <v>93</v>
      </c>
      <c r="E34" s="71" t="str">
        <f>"0x0"&amp;DEC2HEX(4+HEX2DEC(RIGHT(E33, 4)))</f>
        <v>0x0270</v>
      </c>
      <c r="F34" s="13" t="s">
        <v>360</v>
      </c>
      <c r="G34" s="13" t="s">
        <v>321</v>
      </c>
      <c r="H34" s="7" t="s">
        <v>230</v>
      </c>
      <c r="I34" s="7" t="s">
        <v>14</v>
      </c>
      <c r="J34" s="24" t="s">
        <v>15</v>
      </c>
      <c r="K34" s="95"/>
      <c r="L34" s="93" t="s">
        <v>78</v>
      </c>
      <c r="M34" s="23" t="s">
        <v>235</v>
      </c>
      <c r="N34" s="7" t="s">
        <v>236</v>
      </c>
      <c r="O34" s="7" t="s">
        <v>429</v>
      </c>
      <c r="P34" s="9" t="s">
        <v>432</v>
      </c>
      <c r="R34" s="20" t="str">
        <f>IF(J34 = $J$109, "11", IF(J34 = $J$108, "10", IF(J34 = $J$107, "01", IF(J34 = $J$106, "00", ""))))</f>
        <v>10</v>
      </c>
      <c r="S34" s="7" t="str">
        <f>IF(I34=$I$108,"10",IF(I34=$I$107,"01","00"))</f>
        <v>00</v>
      </c>
      <c r="T34" s="7" t="str">
        <f>IF(H34=$H$106,"000",IF(H34=$H$107,"001",IF(H34=$H$108,"010",IF(H34=$H$109,"011",IF(H34=$H$110,"100",IF(H34=$H$111,"101",IF(H34=$H$112,"110",IF(H34=$H$113,"111",""))))))))</f>
        <v>111</v>
      </c>
      <c r="U34" s="9" t="str">
        <f t="shared" si="0"/>
        <v>//0x00400007   Pinmode:GPIO_PIN_10</v>
      </c>
      <c r="W34" s="32">
        <f t="shared" si="1"/>
        <v>7</v>
      </c>
      <c r="X34" s="32" t="str">
        <f t="shared" si="2"/>
        <v>GPIO_PIN_10</v>
      </c>
      <c r="Z34" s="82" t="s">
        <v>173</v>
      </c>
      <c r="AA34" s="76" t="s">
        <v>32</v>
      </c>
      <c r="AB34" s="60" t="s">
        <v>24</v>
      </c>
      <c r="AC34" s="76" t="s">
        <v>37</v>
      </c>
      <c r="AD34" s="60" t="s">
        <v>24</v>
      </c>
      <c r="AE34" s="76" t="s">
        <v>37</v>
      </c>
      <c r="AF34" s="56" t="s">
        <v>121</v>
      </c>
      <c r="AG34" s="76" t="s">
        <v>32</v>
      </c>
      <c r="AH34" s="55" t="s">
        <v>27</v>
      </c>
      <c r="AI34" s="76" t="s">
        <v>120</v>
      </c>
      <c r="AJ34" s="66" t="s">
        <v>137</v>
      </c>
      <c r="AK34" s="76" t="s">
        <v>37</v>
      </c>
      <c r="AL34" s="58" t="s">
        <v>198</v>
      </c>
      <c r="AM34" s="76" t="s">
        <v>37</v>
      </c>
      <c r="AN34" s="59" t="s">
        <v>449</v>
      </c>
      <c r="AO34" s="77" t="s">
        <v>120</v>
      </c>
    </row>
    <row r="35" spans="2:41" x14ac:dyDescent="0.2">
      <c r="B35" s="27" t="s">
        <v>297</v>
      </c>
      <c r="C35" s="28" t="s">
        <v>34</v>
      </c>
      <c r="D35" s="29" t="s">
        <v>93</v>
      </c>
      <c r="E35" s="72" t="str">
        <f t="shared" si="3"/>
        <v>0x0274</v>
      </c>
      <c r="F35" s="28" t="s">
        <v>361</v>
      </c>
      <c r="G35" s="28" t="s">
        <v>321</v>
      </c>
      <c r="H35" s="30" t="s">
        <v>230</v>
      </c>
      <c r="I35" s="30" t="s">
        <v>14</v>
      </c>
      <c r="J35" s="24" t="s">
        <v>15</v>
      </c>
      <c r="K35" s="95"/>
      <c r="L35" s="93" t="s">
        <v>78</v>
      </c>
      <c r="M35" s="23" t="s">
        <v>235</v>
      </c>
      <c r="N35" s="7" t="s">
        <v>236</v>
      </c>
      <c r="O35" s="7" t="s">
        <v>429</v>
      </c>
      <c r="P35" s="9" t="s">
        <v>432</v>
      </c>
      <c r="R35" s="31" t="str">
        <f>IF(J35 = $J$109, "11", IF(J35 = $J$108, "10", IF(J35 = $J$107, "01", IF(J35 = $J$106, "00", ""))))</f>
        <v>10</v>
      </c>
      <c r="S35" s="30" t="str">
        <f>IF(I35=$I$108,"10",IF(I35=$I$107,"01","00"))</f>
        <v>00</v>
      </c>
      <c r="T35" s="7" t="str">
        <f>IF(H35=$H$106,"000",IF(H35=$H$107,"001",IF(H35=$H$108,"010",IF(H35=$H$109,"011",IF(H35=$H$110,"100",IF(H35=$H$111,"101",IF(H35=$H$112,"110",IF(H35=$H$113,"111",""))))))))</f>
        <v>111</v>
      </c>
      <c r="U35" s="9" t="str">
        <f t="shared" si="0"/>
        <v>//0x00400007   Pinmode:GPIO_PIN_11</v>
      </c>
      <c r="W35" s="1">
        <f t="shared" si="1"/>
        <v>7</v>
      </c>
      <c r="X35" s="1" t="str">
        <f t="shared" si="2"/>
        <v>GPIO_PIN_11</v>
      </c>
      <c r="Z35" s="82" t="s">
        <v>175</v>
      </c>
      <c r="AA35" s="76" t="s">
        <v>32</v>
      </c>
      <c r="AB35" s="60" t="s">
        <v>21</v>
      </c>
      <c r="AC35" s="76" t="s">
        <v>32</v>
      </c>
      <c r="AD35" s="60" t="s">
        <v>21</v>
      </c>
      <c r="AE35" s="76" t="s">
        <v>32</v>
      </c>
      <c r="AF35" s="56" t="s">
        <v>121</v>
      </c>
      <c r="AG35" s="76" t="s">
        <v>32</v>
      </c>
      <c r="AH35" s="55" t="s">
        <v>29</v>
      </c>
      <c r="AI35" s="76" t="s">
        <v>120</v>
      </c>
      <c r="AJ35" s="66" t="s">
        <v>140</v>
      </c>
      <c r="AK35" s="76" t="s">
        <v>37</v>
      </c>
      <c r="AL35" s="58" t="s">
        <v>199</v>
      </c>
      <c r="AM35" s="76" t="s">
        <v>37</v>
      </c>
      <c r="AN35" s="59" t="s">
        <v>450</v>
      </c>
      <c r="AO35" s="77" t="s">
        <v>120</v>
      </c>
    </row>
    <row r="36" spans="2:41" x14ac:dyDescent="0.2">
      <c r="B36" s="10" t="s">
        <v>298</v>
      </c>
      <c r="C36" s="13" t="s">
        <v>35</v>
      </c>
      <c r="D36" s="12" t="s">
        <v>93</v>
      </c>
      <c r="E36" s="71" t="str">
        <f t="shared" si="3"/>
        <v>0x0278</v>
      </c>
      <c r="F36" s="13" t="s">
        <v>362</v>
      </c>
      <c r="G36" s="13" t="s">
        <v>321</v>
      </c>
      <c r="H36" s="7" t="s">
        <v>230</v>
      </c>
      <c r="I36" s="7" t="str">
        <f>Default_pud</f>
        <v>PIN_PULL_NONE</v>
      </c>
      <c r="J36" s="24" t="str">
        <f>Default_drv</f>
        <v>PIN_DRIVING_12MA</v>
      </c>
      <c r="K36" s="95"/>
      <c r="L36" s="93" t="s">
        <v>78</v>
      </c>
      <c r="M36" s="23" t="s">
        <v>235</v>
      </c>
      <c r="N36" s="7" t="s">
        <v>236</v>
      </c>
      <c r="O36" s="7" t="s">
        <v>429</v>
      </c>
      <c r="P36" s="9" t="s">
        <v>432</v>
      </c>
      <c r="R36" s="20" t="str">
        <f>IF(J36 = $J$109, "11", IF(J36 = $J$108, "10", IF(J36 = $J$107, "01", IF(J36 = $J$106, "00", ""))))</f>
        <v>10</v>
      </c>
      <c r="S36" s="7" t="str">
        <f>IF(I36=$I$108,"10",IF(I36=$I$107,"01","00"))</f>
        <v>00</v>
      </c>
      <c r="T36" s="7" t="str">
        <f>IF(H36=$H$106,"000",IF(H36=$H$107,"001",IF(H36=$H$108,"010",IF(H36=$H$109,"011",IF(H36=$H$110,"100",IF(H36=$H$111,"101",IF(H36=$H$112,"110",IF(H36=$H$113,"111",""))))))))</f>
        <v>111</v>
      </c>
      <c r="U36" s="9" t="str">
        <f t="shared" si="0"/>
        <v>//0x00400007   Pinmode:GPIO_PIN_12</v>
      </c>
      <c r="W36" s="1">
        <f t="shared" si="1"/>
        <v>7</v>
      </c>
      <c r="X36" s="1" t="str">
        <f t="shared" si="2"/>
        <v>GPIO_PIN_12</v>
      </c>
      <c r="Z36" s="82" t="s">
        <v>165</v>
      </c>
      <c r="AA36" s="76" t="s">
        <v>37</v>
      </c>
      <c r="AB36" s="62" t="s">
        <v>192</v>
      </c>
      <c r="AC36" s="76" t="s">
        <v>32</v>
      </c>
      <c r="AD36" s="62" t="s">
        <v>192</v>
      </c>
      <c r="AE36" s="76" t="s">
        <v>32</v>
      </c>
      <c r="AF36" s="56" t="s">
        <v>121</v>
      </c>
      <c r="AG36" s="76" t="s">
        <v>32</v>
      </c>
      <c r="AH36" s="55" t="s">
        <v>16</v>
      </c>
      <c r="AI36" s="76" t="s">
        <v>120</v>
      </c>
      <c r="AJ36" s="66" t="s">
        <v>143</v>
      </c>
      <c r="AK36" s="76" t="s">
        <v>37</v>
      </c>
      <c r="AL36" s="58" t="s">
        <v>200</v>
      </c>
      <c r="AM36" s="76" t="s">
        <v>37</v>
      </c>
      <c r="AN36" s="59" t="s">
        <v>451</v>
      </c>
      <c r="AO36" s="77" t="s">
        <v>120</v>
      </c>
    </row>
    <row r="37" spans="2:41" x14ac:dyDescent="0.2">
      <c r="B37" s="10" t="s">
        <v>299</v>
      </c>
      <c r="C37" s="13" t="s">
        <v>36</v>
      </c>
      <c r="D37" s="12" t="s">
        <v>93</v>
      </c>
      <c r="E37" s="71" t="str">
        <f t="shared" si="3"/>
        <v>0x027C</v>
      </c>
      <c r="F37" s="13" t="s">
        <v>363</v>
      </c>
      <c r="G37" s="13" t="s">
        <v>321</v>
      </c>
      <c r="H37" s="7" t="s">
        <v>230</v>
      </c>
      <c r="I37" s="7" t="str">
        <f>Default_pud</f>
        <v>PIN_PULL_NONE</v>
      </c>
      <c r="J37" s="24" t="str">
        <f>Default_drv</f>
        <v>PIN_DRIVING_12MA</v>
      </c>
      <c r="K37" s="95"/>
      <c r="L37" s="93" t="s">
        <v>78</v>
      </c>
      <c r="M37" s="23" t="s">
        <v>235</v>
      </c>
      <c r="N37" s="7" t="s">
        <v>236</v>
      </c>
      <c r="O37" s="7" t="s">
        <v>429</v>
      </c>
      <c r="P37" s="9" t="s">
        <v>432</v>
      </c>
      <c r="R37" s="20" t="str">
        <f>IF(J37 = $J$109, "11", IF(J37 = $J$108, "10", IF(J37 = $J$107, "01", IF(J37 = $J$106, "00", ""))))</f>
        <v>10</v>
      </c>
      <c r="S37" s="7" t="str">
        <f>IF(I37=$I$108,"10",IF(I37=$I$107,"01","00"))</f>
        <v>00</v>
      </c>
      <c r="T37" s="7" t="str">
        <f>IF(H37=$H$106,"000",IF(H37=$H$107,"001",IF(H37=$H$108,"010",IF(H37=$H$109,"011",IF(H37=$H$110,"100",IF(H37=$H$111,"101",IF(H37=$H$112,"110",IF(H37=$H$113,"111",""))))))))</f>
        <v>111</v>
      </c>
      <c r="U37" s="9" t="str">
        <f t="shared" si="0"/>
        <v>//0x00400007   Pinmode:GPIO_PIN_13</v>
      </c>
      <c r="W37" s="1">
        <f t="shared" si="1"/>
        <v>7</v>
      </c>
      <c r="X37" s="1" t="str">
        <f t="shared" si="2"/>
        <v>GPIO_PIN_13</v>
      </c>
      <c r="Z37" s="82" t="s">
        <v>177</v>
      </c>
      <c r="AA37" s="76" t="s">
        <v>32</v>
      </c>
      <c r="AB37" s="62" t="s">
        <v>195</v>
      </c>
      <c r="AC37" s="76" t="s">
        <v>32</v>
      </c>
      <c r="AD37" s="62" t="s">
        <v>195</v>
      </c>
      <c r="AE37" s="76" t="s">
        <v>32</v>
      </c>
      <c r="AF37" s="56" t="s">
        <v>121</v>
      </c>
      <c r="AG37" s="76" t="s">
        <v>32</v>
      </c>
      <c r="AH37" s="55" t="s">
        <v>19</v>
      </c>
      <c r="AI37" s="76" t="s">
        <v>120</v>
      </c>
      <c r="AJ37" s="66" t="s">
        <v>146</v>
      </c>
      <c r="AK37" s="76" t="s">
        <v>37</v>
      </c>
      <c r="AL37" s="58" t="s">
        <v>201</v>
      </c>
      <c r="AM37" s="76" t="s">
        <v>37</v>
      </c>
      <c r="AN37" s="59" t="s">
        <v>452</v>
      </c>
      <c r="AO37" s="77" t="s">
        <v>120</v>
      </c>
    </row>
    <row r="38" spans="2:41" x14ac:dyDescent="0.2">
      <c r="B38" s="10" t="s">
        <v>300</v>
      </c>
      <c r="C38" s="13" t="s">
        <v>38</v>
      </c>
      <c r="D38" s="12" t="s">
        <v>93</v>
      </c>
      <c r="E38" s="71" t="str">
        <f t="shared" si="3"/>
        <v>0x0280</v>
      </c>
      <c r="F38" s="13" t="s">
        <v>364</v>
      </c>
      <c r="G38" s="13" t="s">
        <v>321</v>
      </c>
      <c r="H38" s="7" t="s">
        <v>230</v>
      </c>
      <c r="I38" s="7" t="str">
        <f>Default_pud</f>
        <v>PIN_PULL_NONE</v>
      </c>
      <c r="J38" s="24" t="str">
        <f>Default_drv</f>
        <v>PIN_DRIVING_12MA</v>
      </c>
      <c r="K38" s="95"/>
      <c r="L38" s="93" t="s">
        <v>78</v>
      </c>
      <c r="M38" s="23" t="s">
        <v>235</v>
      </c>
      <c r="N38" s="7" t="s">
        <v>236</v>
      </c>
      <c r="O38" s="7" t="s">
        <v>429</v>
      </c>
      <c r="P38" s="9" t="s">
        <v>432</v>
      </c>
      <c r="R38" s="20" t="str">
        <f>IF(J38 = $J$109, "11", IF(J38 = $J$108, "10", IF(J38 = $J$107, "01", IF(J38 = $J$106, "00", ""))))</f>
        <v>10</v>
      </c>
      <c r="S38" s="7" t="str">
        <f>IF(I38=$I$108,"10",IF(I38=$I$107,"01","00"))</f>
        <v>00</v>
      </c>
      <c r="T38" s="7" t="str">
        <f>IF(H38=$H$106,"000",IF(H38=$H$107,"001",IF(H38=$H$108,"010",IF(H38=$H$109,"011",IF(H38=$H$110,"100",IF(H38=$H$111,"101",IF(H38=$H$112,"110",IF(H38=$H$113,"111",""))))))))</f>
        <v>111</v>
      </c>
      <c r="U38" s="9" t="str">
        <f t="shared" si="0"/>
        <v>//0x00400007   Pinmode:GPIO_PIN_14</v>
      </c>
      <c r="W38" s="1">
        <f t="shared" si="1"/>
        <v>7</v>
      </c>
      <c r="X38" s="1" t="str">
        <f t="shared" si="2"/>
        <v>GPIO_PIN_14</v>
      </c>
      <c r="Z38" s="82" t="s">
        <v>179</v>
      </c>
      <c r="AA38" s="76" t="s">
        <v>32</v>
      </c>
      <c r="AB38" s="62" t="s">
        <v>202</v>
      </c>
      <c r="AC38" s="76" t="s">
        <v>37</v>
      </c>
      <c r="AD38" s="62" t="s">
        <v>202</v>
      </c>
      <c r="AE38" s="76" t="s">
        <v>37</v>
      </c>
      <c r="AF38" s="83" t="s">
        <v>203</v>
      </c>
      <c r="AG38" s="76" t="s">
        <v>37</v>
      </c>
      <c r="AH38" s="62" t="s">
        <v>202</v>
      </c>
      <c r="AI38" s="76" t="s">
        <v>37</v>
      </c>
      <c r="AJ38" s="66" t="s">
        <v>134</v>
      </c>
      <c r="AK38" s="76" t="s">
        <v>37</v>
      </c>
      <c r="AL38" s="58" t="s">
        <v>204</v>
      </c>
      <c r="AM38" s="76" t="s">
        <v>37</v>
      </c>
      <c r="AN38" s="59" t="s">
        <v>453</v>
      </c>
      <c r="AO38" s="77" t="s">
        <v>120</v>
      </c>
    </row>
    <row r="39" spans="2:41" x14ac:dyDescent="0.2">
      <c r="B39" s="10" t="s">
        <v>266</v>
      </c>
      <c r="C39" s="13" t="s">
        <v>41</v>
      </c>
      <c r="D39" s="12" t="s">
        <v>93</v>
      </c>
      <c r="E39" s="71" t="str">
        <f>"0x0"&amp;DEC2HEX(4+HEX2DEC(RIGHT(E33, 4)))</f>
        <v>0x0270</v>
      </c>
      <c r="F39" s="13" t="s">
        <v>367</v>
      </c>
      <c r="G39" s="13" t="s">
        <v>323</v>
      </c>
      <c r="H39" s="7" t="str">
        <f>Default_mod</f>
        <v>PIN_MODE_0</v>
      </c>
      <c r="I39" s="7" t="str">
        <f>Default_pud</f>
        <v>PIN_PULL_NONE</v>
      </c>
      <c r="J39" s="24" t="str">
        <f>Default_drv</f>
        <v>PIN_DRIVING_12MA</v>
      </c>
      <c r="K39" s="95"/>
      <c r="L39" s="93" t="s">
        <v>78</v>
      </c>
      <c r="M39" s="23" t="s">
        <v>235</v>
      </c>
      <c r="N39" s="7" t="s">
        <v>236</v>
      </c>
      <c r="O39" s="7" t="s">
        <v>429</v>
      </c>
      <c r="P39" s="9" t="s">
        <v>432</v>
      </c>
      <c r="R39" s="20" t="str">
        <f t="shared" ref="R39:R69" si="4">IF(J39 = $J$109, "11", IF(J39 = $J$108, "10", IF(J39 = $J$107, "01", IF(J39 = $J$106, "00", ""))))</f>
        <v>10</v>
      </c>
      <c r="S39" s="7" t="str">
        <f t="shared" ref="S39:S69" si="5">IF(I39=$I$108,"10",IF(I39=$I$107,"01","00"))</f>
        <v>00</v>
      </c>
      <c r="T39" s="7" t="str">
        <f t="shared" ref="T39:T69" si="6">IF(H39=$H$106,"000",IF(H39=$H$107,"001",IF(H39=$H$108,"010",IF(H39=$H$109,"011",IF(H39=$H$110,"100",IF(H39=$H$111,"101",IF(H39=$H$112,"110",IF(H39=$H$113,"111",""))))))))</f>
        <v>000</v>
      </c>
      <c r="U39" s="9" t="str">
        <f t="shared" ref="U39:U69" si="7">"//0x"&amp;DEC2HEX(BIN2DEC(R39)*2^21+BIN2DEC(S39)*2^16+BIN2DEC(T39),8)&amp;"   Pinmode:"&amp;Pinmode</f>
        <v>//0x00400000   Pinmode:MCU_TRACE_CLK</v>
      </c>
      <c r="W39" s="1">
        <f t="shared" si="1"/>
        <v>0</v>
      </c>
      <c r="X39" s="1" t="str">
        <f t="shared" si="2"/>
        <v>MCU_TRACE_CLK</v>
      </c>
      <c r="Z39" s="85" t="s">
        <v>134</v>
      </c>
      <c r="AA39" s="76" t="s">
        <v>37</v>
      </c>
      <c r="AB39" s="60" t="s">
        <v>135</v>
      </c>
      <c r="AC39" s="76" t="s">
        <v>32</v>
      </c>
      <c r="AD39" s="60" t="s">
        <v>135</v>
      </c>
      <c r="AE39" s="76" t="s">
        <v>32</v>
      </c>
      <c r="AF39" s="56" t="s">
        <v>121</v>
      </c>
      <c r="AG39" s="76" t="s">
        <v>32</v>
      </c>
      <c r="AH39" s="60" t="s">
        <v>135</v>
      </c>
      <c r="AI39" s="76" t="s">
        <v>32</v>
      </c>
      <c r="AJ39" s="60" t="s">
        <v>135</v>
      </c>
      <c r="AK39" s="76" t="s">
        <v>32</v>
      </c>
      <c r="AL39" s="58" t="s">
        <v>136</v>
      </c>
      <c r="AM39" s="76" t="s">
        <v>37</v>
      </c>
      <c r="AN39" s="59" t="s">
        <v>456</v>
      </c>
      <c r="AO39" s="77" t="s">
        <v>120</v>
      </c>
    </row>
    <row r="40" spans="2:41" x14ac:dyDescent="0.2">
      <c r="B40" s="10" t="s">
        <v>267</v>
      </c>
      <c r="C40" s="13" t="s">
        <v>42</v>
      </c>
      <c r="D40" s="12" t="s">
        <v>93</v>
      </c>
      <c r="E40" s="71" t="str">
        <f t="shared" si="3"/>
        <v>0x0274</v>
      </c>
      <c r="F40" s="13" t="s">
        <v>86</v>
      </c>
      <c r="G40" s="13" t="s">
        <v>323</v>
      </c>
      <c r="H40" s="7" t="str">
        <f>Default_mod</f>
        <v>PIN_MODE_0</v>
      </c>
      <c r="I40" s="7" t="str">
        <f>Default_pud</f>
        <v>PIN_PULL_NONE</v>
      </c>
      <c r="J40" s="24" t="str">
        <f>Default_drv</f>
        <v>PIN_DRIVING_12MA</v>
      </c>
      <c r="K40" s="95"/>
      <c r="L40" s="93" t="s">
        <v>78</v>
      </c>
      <c r="M40" s="23" t="s">
        <v>235</v>
      </c>
      <c r="N40" s="7" t="s">
        <v>236</v>
      </c>
      <c r="O40" s="7" t="s">
        <v>429</v>
      </c>
      <c r="P40" s="9" t="s">
        <v>432</v>
      </c>
      <c r="R40" s="20" t="str">
        <f t="shared" si="4"/>
        <v>10</v>
      </c>
      <c r="S40" s="7" t="str">
        <f t="shared" si="5"/>
        <v>00</v>
      </c>
      <c r="T40" s="7" t="str">
        <f t="shared" si="6"/>
        <v>000</v>
      </c>
      <c r="U40" s="9" t="str">
        <f t="shared" si="7"/>
        <v>//0x00400000   Pinmode:MCU_TRACE_DATA[0]</v>
      </c>
      <c r="W40" s="1">
        <f t="shared" si="1"/>
        <v>0</v>
      </c>
      <c r="X40" s="1" t="str">
        <f t="shared" si="2"/>
        <v>MCU_TRACE_DATA[0]</v>
      </c>
      <c r="Z40" s="85" t="s">
        <v>137</v>
      </c>
      <c r="AA40" s="76" t="s">
        <v>37</v>
      </c>
      <c r="AB40" s="60" t="s">
        <v>138</v>
      </c>
      <c r="AC40" s="76" t="s">
        <v>37</v>
      </c>
      <c r="AD40" s="60" t="s">
        <v>138</v>
      </c>
      <c r="AE40" s="76" t="s">
        <v>37</v>
      </c>
      <c r="AF40" s="56" t="s">
        <v>121</v>
      </c>
      <c r="AG40" s="76" t="s">
        <v>32</v>
      </c>
      <c r="AH40" s="60" t="s">
        <v>138</v>
      </c>
      <c r="AI40" s="76" t="s">
        <v>37</v>
      </c>
      <c r="AJ40" s="60" t="s">
        <v>138</v>
      </c>
      <c r="AK40" s="76" t="s">
        <v>37</v>
      </c>
      <c r="AL40" s="58" t="s">
        <v>139</v>
      </c>
      <c r="AM40" s="76" t="s">
        <v>37</v>
      </c>
      <c r="AN40" s="59" t="s">
        <v>457</v>
      </c>
      <c r="AO40" s="77" t="s">
        <v>120</v>
      </c>
    </row>
    <row r="41" spans="2:41" x14ac:dyDescent="0.2">
      <c r="B41" s="10" t="s">
        <v>268</v>
      </c>
      <c r="C41" s="13" t="s">
        <v>43</v>
      </c>
      <c r="D41" s="12" t="s">
        <v>93</v>
      </c>
      <c r="E41" s="71" t="str">
        <f t="shared" si="3"/>
        <v>0x0278</v>
      </c>
      <c r="F41" s="13" t="s">
        <v>87</v>
      </c>
      <c r="G41" s="13" t="s">
        <v>323</v>
      </c>
      <c r="H41" s="7" t="str">
        <f>Default_mod</f>
        <v>PIN_MODE_0</v>
      </c>
      <c r="I41" s="7" t="str">
        <f>Default_pud</f>
        <v>PIN_PULL_NONE</v>
      </c>
      <c r="J41" s="24" t="str">
        <f>Default_drv</f>
        <v>PIN_DRIVING_12MA</v>
      </c>
      <c r="K41" s="95"/>
      <c r="L41" s="93" t="s">
        <v>78</v>
      </c>
      <c r="M41" s="23" t="s">
        <v>235</v>
      </c>
      <c r="N41" s="7" t="s">
        <v>236</v>
      </c>
      <c r="O41" s="7" t="s">
        <v>429</v>
      </c>
      <c r="P41" s="9" t="s">
        <v>432</v>
      </c>
      <c r="R41" s="20" t="str">
        <f t="shared" si="4"/>
        <v>10</v>
      </c>
      <c r="S41" s="7" t="str">
        <f t="shared" si="5"/>
        <v>00</v>
      </c>
      <c r="T41" s="7" t="str">
        <f t="shared" si="6"/>
        <v>000</v>
      </c>
      <c r="U41" s="9" t="str">
        <f t="shared" si="7"/>
        <v>//0x00400000   Pinmode:MCU_TRACE_DATA[1]</v>
      </c>
      <c r="W41" s="1">
        <f t="shared" si="1"/>
        <v>0</v>
      </c>
      <c r="X41" s="1" t="str">
        <f t="shared" si="2"/>
        <v>MCU_TRACE_DATA[1]</v>
      </c>
      <c r="Z41" s="85" t="s">
        <v>140</v>
      </c>
      <c r="AA41" s="76" t="s">
        <v>37</v>
      </c>
      <c r="AB41" s="60" t="s">
        <v>141</v>
      </c>
      <c r="AC41" s="76" t="s">
        <v>32</v>
      </c>
      <c r="AD41" s="60" t="s">
        <v>141</v>
      </c>
      <c r="AE41" s="76" t="s">
        <v>32</v>
      </c>
      <c r="AF41" s="56" t="s">
        <v>121</v>
      </c>
      <c r="AG41" s="76" t="s">
        <v>32</v>
      </c>
      <c r="AH41" s="60" t="s">
        <v>141</v>
      </c>
      <c r="AI41" s="76" t="s">
        <v>32</v>
      </c>
      <c r="AJ41" s="60" t="s">
        <v>141</v>
      </c>
      <c r="AK41" s="76" t="s">
        <v>32</v>
      </c>
      <c r="AL41" s="58" t="s">
        <v>142</v>
      </c>
      <c r="AM41" s="76" t="s">
        <v>37</v>
      </c>
      <c r="AN41" s="59" t="s">
        <v>458</v>
      </c>
      <c r="AO41" s="77" t="s">
        <v>120</v>
      </c>
    </row>
    <row r="42" spans="2:41" x14ac:dyDescent="0.2">
      <c r="B42" s="10" t="s">
        <v>269</v>
      </c>
      <c r="C42" s="13" t="s">
        <v>44</v>
      </c>
      <c r="D42" s="12" t="s">
        <v>93</v>
      </c>
      <c r="E42" s="71" t="str">
        <f t="shared" si="3"/>
        <v>0x027C</v>
      </c>
      <c r="F42" s="13" t="s">
        <v>88</v>
      </c>
      <c r="G42" s="13" t="s">
        <v>323</v>
      </c>
      <c r="H42" s="7" t="str">
        <f>Default_mod</f>
        <v>PIN_MODE_0</v>
      </c>
      <c r="I42" s="7" t="str">
        <f>Default_pud</f>
        <v>PIN_PULL_NONE</v>
      </c>
      <c r="J42" s="24" t="str">
        <f>Default_drv</f>
        <v>PIN_DRIVING_12MA</v>
      </c>
      <c r="K42" s="95"/>
      <c r="L42" s="93" t="s">
        <v>78</v>
      </c>
      <c r="M42" s="23" t="s">
        <v>235</v>
      </c>
      <c r="N42" s="7" t="s">
        <v>236</v>
      </c>
      <c r="O42" s="7" t="s">
        <v>429</v>
      </c>
      <c r="P42" s="9" t="s">
        <v>432</v>
      </c>
      <c r="R42" s="20" t="str">
        <f t="shared" si="4"/>
        <v>10</v>
      </c>
      <c r="S42" s="7" t="str">
        <f t="shared" si="5"/>
        <v>00</v>
      </c>
      <c r="T42" s="7" t="str">
        <f t="shared" si="6"/>
        <v>000</v>
      </c>
      <c r="U42" s="9" t="str">
        <f t="shared" si="7"/>
        <v>//0x00400000   Pinmode:MCU_TRACE_DATA[2]</v>
      </c>
      <c r="W42" s="1">
        <f t="shared" si="1"/>
        <v>0</v>
      </c>
      <c r="X42" s="1" t="str">
        <f t="shared" si="2"/>
        <v>MCU_TRACE_DATA[2]</v>
      </c>
      <c r="Z42" s="85" t="s">
        <v>143</v>
      </c>
      <c r="AA42" s="76" t="s">
        <v>37</v>
      </c>
      <c r="AB42" s="60" t="s">
        <v>144</v>
      </c>
      <c r="AC42" s="76" t="s">
        <v>37</v>
      </c>
      <c r="AD42" s="60" t="s">
        <v>144</v>
      </c>
      <c r="AE42" s="76" t="s">
        <v>37</v>
      </c>
      <c r="AF42" s="56" t="s">
        <v>121</v>
      </c>
      <c r="AG42" s="76" t="s">
        <v>32</v>
      </c>
      <c r="AH42" s="60" t="s">
        <v>144</v>
      </c>
      <c r="AI42" s="76" t="s">
        <v>37</v>
      </c>
      <c r="AJ42" s="60" t="s">
        <v>144</v>
      </c>
      <c r="AK42" s="76" t="s">
        <v>37</v>
      </c>
      <c r="AL42" s="58" t="s">
        <v>145</v>
      </c>
      <c r="AM42" s="76" t="s">
        <v>37</v>
      </c>
      <c r="AN42" s="59" t="s">
        <v>459</v>
      </c>
      <c r="AO42" s="77" t="s">
        <v>120</v>
      </c>
    </row>
    <row r="43" spans="2:41" x14ac:dyDescent="0.2">
      <c r="B43" s="10" t="s">
        <v>270</v>
      </c>
      <c r="C43" s="13" t="s">
        <v>45</v>
      </c>
      <c r="D43" s="12" t="s">
        <v>93</v>
      </c>
      <c r="E43" s="71" t="str">
        <f t="shared" si="3"/>
        <v>0x0280</v>
      </c>
      <c r="F43" s="13" t="s">
        <v>89</v>
      </c>
      <c r="G43" s="13" t="s">
        <v>323</v>
      </c>
      <c r="H43" s="7" t="str">
        <f>Default_mod</f>
        <v>PIN_MODE_0</v>
      </c>
      <c r="I43" s="7" t="str">
        <f>Default_pud</f>
        <v>PIN_PULL_NONE</v>
      </c>
      <c r="J43" s="24" t="str">
        <f>Default_drv</f>
        <v>PIN_DRIVING_12MA</v>
      </c>
      <c r="K43" s="95"/>
      <c r="L43" s="93" t="s">
        <v>78</v>
      </c>
      <c r="M43" s="23" t="s">
        <v>235</v>
      </c>
      <c r="N43" s="7" t="s">
        <v>236</v>
      </c>
      <c r="O43" s="7" t="s">
        <v>429</v>
      </c>
      <c r="P43" s="9" t="s">
        <v>432</v>
      </c>
      <c r="R43" s="20" t="str">
        <f t="shared" si="4"/>
        <v>10</v>
      </c>
      <c r="S43" s="7" t="str">
        <f t="shared" si="5"/>
        <v>00</v>
      </c>
      <c r="T43" s="7" t="str">
        <f t="shared" si="6"/>
        <v>000</v>
      </c>
      <c r="U43" s="9" t="str">
        <f t="shared" si="7"/>
        <v>//0x00400000   Pinmode:MCU_TRACE_DATA[3]</v>
      </c>
      <c r="W43" s="1">
        <f t="shared" si="1"/>
        <v>0</v>
      </c>
      <c r="X43" s="1" t="str">
        <f t="shared" si="2"/>
        <v>MCU_TRACE_DATA[3]</v>
      </c>
      <c r="Z43" s="85" t="s">
        <v>146</v>
      </c>
      <c r="AA43" s="76" t="s">
        <v>37</v>
      </c>
      <c r="AB43" s="60" t="s">
        <v>147</v>
      </c>
      <c r="AC43" s="76" t="s">
        <v>32</v>
      </c>
      <c r="AD43" s="60" t="s">
        <v>147</v>
      </c>
      <c r="AE43" s="76" t="s">
        <v>32</v>
      </c>
      <c r="AF43" s="60" t="s">
        <v>147</v>
      </c>
      <c r="AG43" s="76" t="s">
        <v>32</v>
      </c>
      <c r="AH43" s="60" t="s">
        <v>147</v>
      </c>
      <c r="AI43" s="76" t="s">
        <v>32</v>
      </c>
      <c r="AJ43" s="60" t="s">
        <v>147</v>
      </c>
      <c r="AK43" s="76" t="s">
        <v>32</v>
      </c>
      <c r="AL43" s="58" t="s">
        <v>148</v>
      </c>
      <c r="AM43" s="76" t="s">
        <v>37</v>
      </c>
      <c r="AN43" s="59" t="s">
        <v>460</v>
      </c>
      <c r="AO43" s="77" t="s">
        <v>120</v>
      </c>
    </row>
    <row r="44" spans="2:41" x14ac:dyDescent="0.2">
      <c r="B44" s="10" t="s">
        <v>271</v>
      </c>
      <c r="C44" s="13" t="s">
        <v>46</v>
      </c>
      <c r="D44" s="12" t="s">
        <v>93</v>
      </c>
      <c r="E44" s="71" t="str">
        <f t="shared" si="3"/>
        <v>0x0284</v>
      </c>
      <c r="F44" s="13" t="s">
        <v>368</v>
      </c>
      <c r="G44" s="13" t="s">
        <v>323</v>
      </c>
      <c r="H44" s="7" t="str">
        <f>Default_mod</f>
        <v>PIN_MODE_0</v>
      </c>
      <c r="I44" s="7" t="str">
        <f>Default_pud</f>
        <v>PIN_PULL_NONE</v>
      </c>
      <c r="J44" s="24" t="str">
        <f>Default_drv</f>
        <v>PIN_DRIVING_12MA</v>
      </c>
      <c r="K44" s="95"/>
      <c r="L44" s="93" t="s">
        <v>78</v>
      </c>
      <c r="M44" s="23" t="s">
        <v>235</v>
      </c>
      <c r="N44" s="7" t="s">
        <v>236</v>
      </c>
      <c r="O44" s="7" t="s">
        <v>429</v>
      </c>
      <c r="P44" s="9" t="s">
        <v>432</v>
      </c>
      <c r="R44" s="20" t="str">
        <f t="shared" si="4"/>
        <v>10</v>
      </c>
      <c r="S44" s="7" t="str">
        <f t="shared" si="5"/>
        <v>00</v>
      </c>
      <c r="T44" s="7" t="str">
        <f t="shared" si="6"/>
        <v>000</v>
      </c>
      <c r="U44" s="9" t="str">
        <f t="shared" si="7"/>
        <v>//0x00400000   Pinmode:UART1_RI</v>
      </c>
      <c r="W44" s="1">
        <f t="shared" si="1"/>
        <v>0</v>
      </c>
      <c r="X44" s="1" t="str">
        <f t="shared" si="2"/>
        <v>UART1_RI</v>
      </c>
      <c r="Z44" s="84" t="s">
        <v>149</v>
      </c>
      <c r="AA44" s="76" t="s">
        <v>32</v>
      </c>
      <c r="AB44" s="60" t="s">
        <v>149</v>
      </c>
      <c r="AC44" s="76" t="s">
        <v>32</v>
      </c>
      <c r="AD44" s="60" t="s">
        <v>149</v>
      </c>
      <c r="AE44" s="76" t="s">
        <v>32</v>
      </c>
      <c r="AF44" s="60" t="s">
        <v>149</v>
      </c>
      <c r="AG44" s="76" t="s">
        <v>32</v>
      </c>
      <c r="AH44" s="60" t="s">
        <v>149</v>
      </c>
      <c r="AI44" s="76" t="s">
        <v>32</v>
      </c>
      <c r="AJ44" s="60" t="s">
        <v>149</v>
      </c>
      <c r="AK44" s="76" t="s">
        <v>32</v>
      </c>
      <c r="AL44" s="58" t="s">
        <v>150</v>
      </c>
      <c r="AM44" s="76" t="s">
        <v>37</v>
      </c>
      <c r="AN44" s="59" t="s">
        <v>461</v>
      </c>
      <c r="AO44" s="77" t="s">
        <v>120</v>
      </c>
    </row>
    <row r="45" spans="2:41" x14ac:dyDescent="0.2">
      <c r="B45" s="10" t="s">
        <v>306</v>
      </c>
      <c r="C45" s="13" t="s">
        <v>47</v>
      </c>
      <c r="D45" s="12" t="s">
        <v>93</v>
      </c>
      <c r="E45" s="71" t="str">
        <f t="shared" si="3"/>
        <v>0x0288</v>
      </c>
      <c r="F45" s="13" t="s">
        <v>369</v>
      </c>
      <c r="G45" s="13" t="s">
        <v>321</v>
      </c>
      <c r="H45" s="7" t="s">
        <v>18</v>
      </c>
      <c r="I45" s="7" t="s">
        <v>14</v>
      </c>
      <c r="J45" s="24" t="s">
        <v>15</v>
      </c>
      <c r="K45" s="95"/>
      <c r="L45" s="93" t="s">
        <v>78</v>
      </c>
      <c r="M45" s="23" t="s">
        <v>235</v>
      </c>
      <c r="N45" s="7" t="s">
        <v>236</v>
      </c>
      <c r="O45" s="7" t="s">
        <v>429</v>
      </c>
      <c r="P45" s="9" t="s">
        <v>432</v>
      </c>
      <c r="R45" s="20" t="str">
        <f t="shared" si="4"/>
        <v>10</v>
      </c>
      <c r="S45" s="7" t="str">
        <f t="shared" si="5"/>
        <v>00</v>
      </c>
      <c r="T45" s="7" t="str">
        <f t="shared" si="6"/>
        <v>000</v>
      </c>
      <c r="U45" s="9" t="str">
        <f t="shared" si="7"/>
        <v>//0x00400000   Pinmode:SD1_D3</v>
      </c>
      <c r="W45" s="1">
        <f t="shared" si="1"/>
        <v>0</v>
      </c>
      <c r="X45" s="1" t="str">
        <f t="shared" si="2"/>
        <v>SD1_D3</v>
      </c>
      <c r="Z45" s="86" t="s">
        <v>214</v>
      </c>
      <c r="AA45" s="76" t="s">
        <v>120</v>
      </c>
      <c r="AB45" s="67" t="s">
        <v>214</v>
      </c>
      <c r="AC45" s="76" t="s">
        <v>120</v>
      </c>
      <c r="AD45" s="67" t="s">
        <v>214</v>
      </c>
      <c r="AE45" s="76" t="s">
        <v>120</v>
      </c>
      <c r="AF45" s="67" t="s">
        <v>214</v>
      </c>
      <c r="AG45" s="76" t="s">
        <v>120</v>
      </c>
      <c r="AH45" s="67" t="s">
        <v>214</v>
      </c>
      <c r="AI45" s="76" t="s">
        <v>120</v>
      </c>
      <c r="AJ45" s="67" t="s">
        <v>214</v>
      </c>
      <c r="AK45" s="76" t="s">
        <v>120</v>
      </c>
      <c r="AL45" s="67" t="s">
        <v>214</v>
      </c>
      <c r="AM45" s="76" t="s">
        <v>120</v>
      </c>
      <c r="AN45" s="67" t="s">
        <v>214</v>
      </c>
      <c r="AO45" s="77" t="s">
        <v>120</v>
      </c>
    </row>
    <row r="46" spans="2:41" x14ac:dyDescent="0.2">
      <c r="B46" s="10" t="s">
        <v>307</v>
      </c>
      <c r="C46" s="13" t="s">
        <v>48</v>
      </c>
      <c r="D46" s="12" t="s">
        <v>93</v>
      </c>
      <c r="E46" s="71" t="str">
        <f t="shared" si="3"/>
        <v>0x028C</v>
      </c>
      <c r="F46" s="13" t="s">
        <v>370</v>
      </c>
      <c r="G46" s="13" t="s">
        <v>321</v>
      </c>
      <c r="H46" s="7" t="s">
        <v>18</v>
      </c>
      <c r="I46" s="7" t="s">
        <v>14</v>
      </c>
      <c r="J46" s="24" t="s">
        <v>15</v>
      </c>
      <c r="K46" s="95"/>
      <c r="L46" s="93" t="s">
        <v>78</v>
      </c>
      <c r="M46" s="23" t="s">
        <v>235</v>
      </c>
      <c r="N46" s="7" t="s">
        <v>236</v>
      </c>
      <c r="O46" s="7" t="s">
        <v>429</v>
      </c>
      <c r="P46" s="9" t="s">
        <v>432</v>
      </c>
      <c r="R46" s="20" t="str">
        <f t="shared" si="4"/>
        <v>10</v>
      </c>
      <c r="S46" s="7" t="str">
        <f t="shared" si="5"/>
        <v>00</v>
      </c>
      <c r="T46" s="7" t="str">
        <f t="shared" si="6"/>
        <v>000</v>
      </c>
      <c r="U46" s="9" t="str">
        <f t="shared" si="7"/>
        <v>//0x00400000   Pinmode:SD1_D2</v>
      </c>
      <c r="W46" s="1">
        <f t="shared" si="1"/>
        <v>0</v>
      </c>
      <c r="X46" s="1" t="str">
        <f t="shared" si="2"/>
        <v>SD1_D2</v>
      </c>
      <c r="Z46" s="86" t="s">
        <v>215</v>
      </c>
      <c r="AA46" s="76" t="s">
        <v>120</v>
      </c>
      <c r="AB46" s="67" t="s">
        <v>215</v>
      </c>
      <c r="AC46" s="76" t="s">
        <v>120</v>
      </c>
      <c r="AD46" s="67" t="s">
        <v>215</v>
      </c>
      <c r="AE46" s="76" t="s">
        <v>120</v>
      </c>
      <c r="AF46" s="67" t="s">
        <v>215</v>
      </c>
      <c r="AG46" s="76" t="s">
        <v>120</v>
      </c>
      <c r="AH46" s="67" t="s">
        <v>215</v>
      </c>
      <c r="AI46" s="76" t="s">
        <v>120</v>
      </c>
      <c r="AJ46" s="67" t="s">
        <v>215</v>
      </c>
      <c r="AK46" s="76" t="s">
        <v>120</v>
      </c>
      <c r="AL46" s="67" t="s">
        <v>215</v>
      </c>
      <c r="AM46" s="76" t="s">
        <v>120</v>
      </c>
      <c r="AN46" s="67" t="s">
        <v>215</v>
      </c>
      <c r="AO46" s="77" t="s">
        <v>120</v>
      </c>
    </row>
    <row r="47" spans="2:41" x14ac:dyDescent="0.2">
      <c r="B47" s="10" t="s">
        <v>308</v>
      </c>
      <c r="C47" s="13" t="s">
        <v>28</v>
      </c>
      <c r="D47" s="12" t="s">
        <v>93</v>
      </c>
      <c r="E47" s="71" t="str">
        <f t="shared" si="3"/>
        <v>0x0290</v>
      </c>
      <c r="F47" s="13" t="s">
        <v>371</v>
      </c>
      <c r="G47" s="13" t="s">
        <v>321</v>
      </c>
      <c r="H47" s="7" t="s">
        <v>18</v>
      </c>
      <c r="I47" s="7" t="s">
        <v>14</v>
      </c>
      <c r="J47" s="24" t="s">
        <v>15</v>
      </c>
      <c r="K47" s="95"/>
      <c r="L47" s="93" t="s">
        <v>78</v>
      </c>
      <c r="M47" s="23" t="s">
        <v>235</v>
      </c>
      <c r="N47" s="7" t="s">
        <v>236</v>
      </c>
      <c r="O47" s="7" t="s">
        <v>429</v>
      </c>
      <c r="P47" s="9" t="s">
        <v>432</v>
      </c>
      <c r="R47" s="20" t="str">
        <f t="shared" si="4"/>
        <v>10</v>
      </c>
      <c r="S47" s="7" t="str">
        <f t="shared" si="5"/>
        <v>00</v>
      </c>
      <c r="T47" s="7" t="str">
        <f t="shared" si="6"/>
        <v>000</v>
      </c>
      <c r="U47" s="9" t="str">
        <f t="shared" si="7"/>
        <v>//0x00400000   Pinmode:SD1_D1</v>
      </c>
      <c r="W47" s="1">
        <f t="shared" si="1"/>
        <v>0</v>
      </c>
      <c r="X47" s="1" t="str">
        <f t="shared" si="2"/>
        <v>SD1_D1</v>
      </c>
      <c r="Z47" s="86" t="s">
        <v>216</v>
      </c>
      <c r="AA47" s="76" t="s">
        <v>120</v>
      </c>
      <c r="AB47" s="67" t="s">
        <v>216</v>
      </c>
      <c r="AC47" s="76" t="s">
        <v>120</v>
      </c>
      <c r="AD47" s="67" t="s">
        <v>216</v>
      </c>
      <c r="AE47" s="76" t="s">
        <v>120</v>
      </c>
      <c r="AF47" s="67" t="s">
        <v>216</v>
      </c>
      <c r="AG47" s="76" t="s">
        <v>120</v>
      </c>
      <c r="AH47" s="67" t="s">
        <v>216</v>
      </c>
      <c r="AI47" s="76" t="s">
        <v>120</v>
      </c>
      <c r="AJ47" s="67" t="s">
        <v>216</v>
      </c>
      <c r="AK47" s="76" t="s">
        <v>120</v>
      </c>
      <c r="AL47" s="67" t="s">
        <v>216</v>
      </c>
      <c r="AM47" s="76" t="s">
        <v>120</v>
      </c>
      <c r="AN47" s="67" t="s">
        <v>216</v>
      </c>
      <c r="AO47" s="77" t="s">
        <v>120</v>
      </c>
    </row>
    <row r="48" spans="2:41" x14ac:dyDescent="0.2">
      <c r="B48" s="10" t="s">
        <v>309</v>
      </c>
      <c r="C48" s="13" t="s">
        <v>30</v>
      </c>
      <c r="D48" s="12" t="s">
        <v>93</v>
      </c>
      <c r="E48" s="71" t="str">
        <f t="shared" si="3"/>
        <v>0x0294</v>
      </c>
      <c r="F48" s="13" t="s">
        <v>372</v>
      </c>
      <c r="G48" s="13" t="s">
        <v>321</v>
      </c>
      <c r="H48" s="7" t="s">
        <v>18</v>
      </c>
      <c r="I48" s="7" t="s">
        <v>14</v>
      </c>
      <c r="J48" s="24" t="s">
        <v>15</v>
      </c>
      <c r="K48" s="95"/>
      <c r="L48" s="93" t="s">
        <v>78</v>
      </c>
      <c r="M48" s="23" t="s">
        <v>235</v>
      </c>
      <c r="N48" s="7" t="s">
        <v>236</v>
      </c>
      <c r="O48" s="7" t="s">
        <v>429</v>
      </c>
      <c r="P48" s="9" t="s">
        <v>432</v>
      </c>
      <c r="R48" s="20" t="str">
        <f t="shared" si="4"/>
        <v>10</v>
      </c>
      <c r="S48" s="7" t="str">
        <f t="shared" si="5"/>
        <v>00</v>
      </c>
      <c r="T48" s="7" t="str">
        <f t="shared" si="6"/>
        <v>000</v>
      </c>
      <c r="U48" s="9" t="str">
        <f t="shared" si="7"/>
        <v>//0x00400000   Pinmode:SD1_D0</v>
      </c>
      <c r="W48" s="1">
        <f t="shared" si="1"/>
        <v>0</v>
      </c>
      <c r="X48" s="1" t="str">
        <f t="shared" si="2"/>
        <v>SD1_D0</v>
      </c>
      <c r="Z48" s="86" t="s">
        <v>217</v>
      </c>
      <c r="AA48" s="76" t="s">
        <v>120</v>
      </c>
      <c r="AB48" s="67" t="s">
        <v>217</v>
      </c>
      <c r="AC48" s="76" t="s">
        <v>120</v>
      </c>
      <c r="AD48" s="67" t="s">
        <v>217</v>
      </c>
      <c r="AE48" s="76" t="s">
        <v>120</v>
      </c>
      <c r="AF48" s="67" t="s">
        <v>217</v>
      </c>
      <c r="AG48" s="76" t="s">
        <v>120</v>
      </c>
      <c r="AH48" s="67" t="s">
        <v>217</v>
      </c>
      <c r="AI48" s="76" t="s">
        <v>120</v>
      </c>
      <c r="AJ48" s="67" t="s">
        <v>217</v>
      </c>
      <c r="AK48" s="76" t="s">
        <v>120</v>
      </c>
      <c r="AL48" s="67" t="s">
        <v>217</v>
      </c>
      <c r="AM48" s="76" t="s">
        <v>120</v>
      </c>
      <c r="AN48" s="67" t="s">
        <v>217</v>
      </c>
      <c r="AO48" s="77" t="s">
        <v>120</v>
      </c>
    </row>
    <row r="49" spans="2:41" x14ac:dyDescent="0.2">
      <c r="B49" s="10" t="s">
        <v>310</v>
      </c>
      <c r="C49" s="13" t="s">
        <v>31</v>
      </c>
      <c r="D49" s="12" t="s">
        <v>93</v>
      </c>
      <c r="E49" s="71" t="str">
        <f t="shared" si="3"/>
        <v>0x0298</v>
      </c>
      <c r="F49" s="13" t="s">
        <v>373</v>
      </c>
      <c r="G49" s="13" t="s">
        <v>321</v>
      </c>
      <c r="H49" s="7" t="s">
        <v>18</v>
      </c>
      <c r="I49" s="7" t="s">
        <v>14</v>
      </c>
      <c r="J49" s="24" t="s">
        <v>15</v>
      </c>
      <c r="K49" s="95"/>
      <c r="L49" s="93" t="s">
        <v>78</v>
      </c>
      <c r="M49" s="23" t="s">
        <v>235</v>
      </c>
      <c r="N49" s="7" t="s">
        <v>236</v>
      </c>
      <c r="O49" s="7" t="s">
        <v>429</v>
      </c>
      <c r="P49" s="9" t="s">
        <v>432</v>
      </c>
      <c r="R49" s="20" t="str">
        <f t="shared" si="4"/>
        <v>10</v>
      </c>
      <c r="S49" s="7" t="str">
        <f t="shared" si="5"/>
        <v>00</v>
      </c>
      <c r="T49" s="7" t="str">
        <f t="shared" si="6"/>
        <v>000</v>
      </c>
      <c r="U49" s="9" t="str">
        <f t="shared" si="7"/>
        <v>//0x00400000   Pinmode:SD1_CMD</v>
      </c>
      <c r="W49" s="1">
        <f t="shared" si="1"/>
        <v>0</v>
      </c>
      <c r="X49" s="1" t="str">
        <f t="shared" si="2"/>
        <v>SD1_CMD</v>
      </c>
      <c r="Z49" s="86" t="s">
        <v>218</v>
      </c>
      <c r="AA49" s="76" t="s">
        <v>120</v>
      </c>
      <c r="AB49" s="67" t="s">
        <v>218</v>
      </c>
      <c r="AC49" s="76" t="s">
        <v>120</v>
      </c>
      <c r="AD49" s="67" t="s">
        <v>218</v>
      </c>
      <c r="AE49" s="76" t="s">
        <v>120</v>
      </c>
      <c r="AF49" s="67" t="s">
        <v>218</v>
      </c>
      <c r="AG49" s="76" t="s">
        <v>120</v>
      </c>
      <c r="AH49" s="67" t="s">
        <v>218</v>
      </c>
      <c r="AI49" s="76" t="s">
        <v>120</v>
      </c>
      <c r="AJ49" s="67" t="s">
        <v>218</v>
      </c>
      <c r="AK49" s="76" t="s">
        <v>120</v>
      </c>
      <c r="AL49" s="67" t="s">
        <v>218</v>
      </c>
      <c r="AM49" s="76" t="s">
        <v>120</v>
      </c>
      <c r="AN49" s="67" t="s">
        <v>218</v>
      </c>
      <c r="AO49" s="77" t="s">
        <v>120</v>
      </c>
    </row>
    <row r="50" spans="2:41" x14ac:dyDescent="0.2">
      <c r="B50" s="10" t="s">
        <v>311</v>
      </c>
      <c r="C50" s="13" t="s">
        <v>33</v>
      </c>
      <c r="D50" s="12" t="s">
        <v>93</v>
      </c>
      <c r="E50" s="71" t="str">
        <f t="shared" si="3"/>
        <v>0x029C</v>
      </c>
      <c r="F50" s="13" t="s">
        <v>374</v>
      </c>
      <c r="G50" s="13" t="s">
        <v>321</v>
      </c>
      <c r="H50" s="7" t="s">
        <v>18</v>
      </c>
      <c r="I50" s="7" t="s">
        <v>14</v>
      </c>
      <c r="J50" s="24" t="s">
        <v>15</v>
      </c>
      <c r="K50" s="95"/>
      <c r="L50" s="93" t="s">
        <v>78</v>
      </c>
      <c r="M50" s="23" t="s">
        <v>235</v>
      </c>
      <c r="N50" s="7" t="s">
        <v>236</v>
      </c>
      <c r="O50" s="7" t="s">
        <v>429</v>
      </c>
      <c r="P50" s="9" t="s">
        <v>432</v>
      </c>
      <c r="R50" s="20" t="str">
        <f t="shared" si="4"/>
        <v>10</v>
      </c>
      <c r="S50" s="7" t="str">
        <f t="shared" si="5"/>
        <v>00</v>
      </c>
      <c r="T50" s="7" t="str">
        <f t="shared" si="6"/>
        <v>000</v>
      </c>
      <c r="U50" s="9" t="str">
        <f t="shared" si="7"/>
        <v>//0x00400000   Pinmode:SD1_CLK</v>
      </c>
      <c r="W50" s="1">
        <f t="shared" si="1"/>
        <v>0</v>
      </c>
      <c r="X50" s="1" t="str">
        <f t="shared" si="2"/>
        <v>SD1_CLK</v>
      </c>
      <c r="Z50" s="86" t="s">
        <v>219</v>
      </c>
      <c r="AA50" s="76" t="s">
        <v>37</v>
      </c>
      <c r="AB50" s="67" t="s">
        <v>219</v>
      </c>
      <c r="AC50" s="76" t="s">
        <v>37</v>
      </c>
      <c r="AD50" s="67" t="s">
        <v>219</v>
      </c>
      <c r="AE50" s="76" t="s">
        <v>37</v>
      </c>
      <c r="AF50" s="67" t="s">
        <v>219</v>
      </c>
      <c r="AG50" s="76" t="s">
        <v>37</v>
      </c>
      <c r="AH50" s="67" t="s">
        <v>219</v>
      </c>
      <c r="AI50" s="76" t="s">
        <v>37</v>
      </c>
      <c r="AJ50" s="67" t="s">
        <v>219</v>
      </c>
      <c r="AK50" s="76" t="s">
        <v>37</v>
      </c>
      <c r="AL50" s="67" t="s">
        <v>219</v>
      </c>
      <c r="AM50" s="76" t="s">
        <v>37</v>
      </c>
      <c r="AN50" s="67" t="s">
        <v>219</v>
      </c>
      <c r="AO50" s="77" t="s">
        <v>37</v>
      </c>
    </row>
    <row r="51" spans="2:41" x14ac:dyDescent="0.2">
      <c r="B51" s="10" t="s">
        <v>312</v>
      </c>
      <c r="C51" s="13" t="s">
        <v>34</v>
      </c>
      <c r="D51" s="12" t="s">
        <v>93</v>
      </c>
      <c r="E51" s="71" t="str">
        <f t="shared" si="3"/>
        <v>0x02A0</v>
      </c>
      <c r="F51" s="13" t="s">
        <v>375</v>
      </c>
      <c r="G51" s="13" t="s">
        <v>321</v>
      </c>
      <c r="H51" s="7" t="s">
        <v>18</v>
      </c>
      <c r="I51" s="7" t="s">
        <v>14</v>
      </c>
      <c r="J51" s="24" t="s">
        <v>15</v>
      </c>
      <c r="K51" s="95"/>
      <c r="L51" s="93" t="s">
        <v>78</v>
      </c>
      <c r="M51" s="23" t="s">
        <v>235</v>
      </c>
      <c r="N51" s="7" t="s">
        <v>236</v>
      </c>
      <c r="O51" s="7" t="s">
        <v>429</v>
      </c>
      <c r="P51" s="9" t="s">
        <v>432</v>
      </c>
      <c r="R51" s="20" t="str">
        <f t="shared" si="4"/>
        <v>10</v>
      </c>
      <c r="S51" s="7" t="str">
        <f t="shared" si="5"/>
        <v>00</v>
      </c>
      <c r="T51" s="7" t="str">
        <f t="shared" si="6"/>
        <v>000</v>
      </c>
      <c r="U51" s="9" t="str">
        <f t="shared" si="7"/>
        <v>//0x00400000   Pinmode:SD0_D3</v>
      </c>
      <c r="W51" s="1">
        <f t="shared" si="1"/>
        <v>0</v>
      </c>
      <c r="X51" s="1" t="str">
        <f t="shared" si="2"/>
        <v>SD0_D3</v>
      </c>
      <c r="Z51" s="86" t="s">
        <v>220</v>
      </c>
      <c r="AA51" s="76" t="s">
        <v>120</v>
      </c>
      <c r="AB51" s="67" t="s">
        <v>220</v>
      </c>
      <c r="AC51" s="76" t="s">
        <v>120</v>
      </c>
      <c r="AD51" s="67" t="s">
        <v>220</v>
      </c>
      <c r="AE51" s="76" t="s">
        <v>120</v>
      </c>
      <c r="AF51" s="67" t="s">
        <v>220</v>
      </c>
      <c r="AG51" s="76" t="s">
        <v>120</v>
      </c>
      <c r="AH51" s="67" t="s">
        <v>220</v>
      </c>
      <c r="AI51" s="76" t="s">
        <v>120</v>
      </c>
      <c r="AJ51" s="67" t="s">
        <v>220</v>
      </c>
      <c r="AK51" s="76" t="s">
        <v>120</v>
      </c>
      <c r="AL51" s="67" t="s">
        <v>220</v>
      </c>
      <c r="AM51" s="76" t="s">
        <v>120</v>
      </c>
      <c r="AN51" s="67" t="s">
        <v>220</v>
      </c>
      <c r="AO51" s="77" t="s">
        <v>120</v>
      </c>
    </row>
    <row r="52" spans="2:41" x14ac:dyDescent="0.2">
      <c r="B52" s="10" t="s">
        <v>313</v>
      </c>
      <c r="C52" s="13" t="s">
        <v>35</v>
      </c>
      <c r="D52" s="12" t="s">
        <v>93</v>
      </c>
      <c r="E52" s="71" t="str">
        <f t="shared" si="3"/>
        <v>0x02A4</v>
      </c>
      <c r="F52" s="13" t="s">
        <v>376</v>
      </c>
      <c r="G52" s="13" t="s">
        <v>321</v>
      </c>
      <c r="H52" s="7" t="s">
        <v>18</v>
      </c>
      <c r="I52" s="7" t="s">
        <v>14</v>
      </c>
      <c r="J52" s="24" t="s">
        <v>15</v>
      </c>
      <c r="K52" s="95"/>
      <c r="L52" s="93" t="s">
        <v>78</v>
      </c>
      <c r="M52" s="23" t="s">
        <v>235</v>
      </c>
      <c r="N52" s="7" t="s">
        <v>236</v>
      </c>
      <c r="O52" s="7" t="s">
        <v>429</v>
      </c>
      <c r="P52" s="9" t="s">
        <v>432</v>
      </c>
      <c r="R52" s="20" t="str">
        <f t="shared" si="4"/>
        <v>10</v>
      </c>
      <c r="S52" s="7" t="str">
        <f t="shared" si="5"/>
        <v>00</v>
      </c>
      <c r="T52" s="7" t="str">
        <f t="shared" si="6"/>
        <v>000</v>
      </c>
      <c r="U52" s="9" t="str">
        <f t="shared" si="7"/>
        <v>//0x00400000   Pinmode:SD0_D2</v>
      </c>
      <c r="W52" s="1">
        <f t="shared" si="1"/>
        <v>0</v>
      </c>
      <c r="X52" s="1" t="str">
        <f t="shared" si="2"/>
        <v>SD0_D2</v>
      </c>
      <c r="Z52" s="86" t="s">
        <v>221</v>
      </c>
      <c r="AA52" s="76" t="s">
        <v>120</v>
      </c>
      <c r="AB52" s="67" t="s">
        <v>221</v>
      </c>
      <c r="AC52" s="76" t="s">
        <v>120</v>
      </c>
      <c r="AD52" s="67" t="s">
        <v>221</v>
      </c>
      <c r="AE52" s="76" t="s">
        <v>120</v>
      </c>
      <c r="AF52" s="67" t="s">
        <v>221</v>
      </c>
      <c r="AG52" s="76" t="s">
        <v>120</v>
      </c>
      <c r="AH52" s="67" t="s">
        <v>221</v>
      </c>
      <c r="AI52" s="76" t="s">
        <v>120</v>
      </c>
      <c r="AJ52" s="67" t="s">
        <v>221</v>
      </c>
      <c r="AK52" s="76" t="s">
        <v>120</v>
      </c>
      <c r="AL52" s="67" t="s">
        <v>221</v>
      </c>
      <c r="AM52" s="76" t="s">
        <v>120</v>
      </c>
      <c r="AN52" s="67" t="s">
        <v>221</v>
      </c>
      <c r="AO52" s="77" t="s">
        <v>120</v>
      </c>
    </row>
    <row r="53" spans="2:41" x14ac:dyDescent="0.2">
      <c r="B53" s="10" t="s">
        <v>314</v>
      </c>
      <c r="C53" s="13" t="s">
        <v>36</v>
      </c>
      <c r="D53" s="12" t="s">
        <v>93</v>
      </c>
      <c r="E53" s="71" t="str">
        <f t="shared" si="3"/>
        <v>0x02A8</v>
      </c>
      <c r="F53" s="13" t="s">
        <v>377</v>
      </c>
      <c r="G53" s="13" t="s">
        <v>321</v>
      </c>
      <c r="H53" s="7" t="s">
        <v>18</v>
      </c>
      <c r="I53" s="7" t="s">
        <v>14</v>
      </c>
      <c r="J53" s="24" t="s">
        <v>15</v>
      </c>
      <c r="K53" s="95"/>
      <c r="L53" s="93" t="s">
        <v>78</v>
      </c>
      <c r="M53" s="23" t="s">
        <v>235</v>
      </c>
      <c r="N53" s="7" t="s">
        <v>236</v>
      </c>
      <c r="O53" s="7" t="s">
        <v>429</v>
      </c>
      <c r="P53" s="9" t="s">
        <v>432</v>
      </c>
      <c r="R53" s="20" t="str">
        <f t="shared" si="4"/>
        <v>10</v>
      </c>
      <c r="S53" s="7" t="str">
        <f t="shared" si="5"/>
        <v>00</v>
      </c>
      <c r="T53" s="7" t="str">
        <f t="shared" si="6"/>
        <v>000</v>
      </c>
      <c r="U53" s="9" t="str">
        <f t="shared" si="7"/>
        <v>//0x00400000   Pinmode:SD0_D1</v>
      </c>
      <c r="W53" s="1">
        <f t="shared" si="1"/>
        <v>0</v>
      </c>
      <c r="X53" s="1" t="str">
        <f t="shared" si="2"/>
        <v>SD0_D1</v>
      </c>
      <c r="Z53" s="86" t="s">
        <v>222</v>
      </c>
      <c r="AA53" s="76" t="s">
        <v>120</v>
      </c>
      <c r="AB53" s="67" t="s">
        <v>222</v>
      </c>
      <c r="AC53" s="76" t="s">
        <v>120</v>
      </c>
      <c r="AD53" s="67" t="s">
        <v>222</v>
      </c>
      <c r="AE53" s="76" t="s">
        <v>120</v>
      </c>
      <c r="AF53" s="67" t="s">
        <v>222</v>
      </c>
      <c r="AG53" s="76" t="s">
        <v>120</v>
      </c>
      <c r="AH53" s="67" t="s">
        <v>222</v>
      </c>
      <c r="AI53" s="76" t="s">
        <v>120</v>
      </c>
      <c r="AJ53" s="67" t="s">
        <v>222</v>
      </c>
      <c r="AK53" s="76" t="s">
        <v>120</v>
      </c>
      <c r="AL53" s="67" t="s">
        <v>222</v>
      </c>
      <c r="AM53" s="76" t="s">
        <v>120</v>
      </c>
      <c r="AN53" s="67" t="s">
        <v>222</v>
      </c>
      <c r="AO53" s="77" t="s">
        <v>120</v>
      </c>
    </row>
    <row r="54" spans="2:41" x14ac:dyDescent="0.2">
      <c r="B54" s="10" t="s">
        <v>315</v>
      </c>
      <c r="C54" s="13" t="s">
        <v>38</v>
      </c>
      <c r="D54" s="12" t="s">
        <v>93</v>
      </c>
      <c r="E54" s="71" t="str">
        <f t="shared" si="3"/>
        <v>0x02AC</v>
      </c>
      <c r="F54" s="13" t="s">
        <v>378</v>
      </c>
      <c r="G54" s="13" t="s">
        <v>321</v>
      </c>
      <c r="H54" s="7" t="s">
        <v>18</v>
      </c>
      <c r="I54" s="7" t="s">
        <v>14</v>
      </c>
      <c r="J54" s="24" t="s">
        <v>15</v>
      </c>
      <c r="K54" s="95"/>
      <c r="L54" s="93" t="s">
        <v>78</v>
      </c>
      <c r="M54" s="23" t="s">
        <v>235</v>
      </c>
      <c r="N54" s="7" t="s">
        <v>236</v>
      </c>
      <c r="O54" s="7" t="s">
        <v>429</v>
      </c>
      <c r="P54" s="9" t="s">
        <v>432</v>
      </c>
      <c r="R54" s="20" t="str">
        <f t="shared" si="4"/>
        <v>10</v>
      </c>
      <c r="S54" s="7" t="str">
        <f t="shared" si="5"/>
        <v>00</v>
      </c>
      <c r="T54" s="7" t="str">
        <f t="shared" si="6"/>
        <v>000</v>
      </c>
      <c r="U54" s="9" t="str">
        <f t="shared" si="7"/>
        <v>//0x00400000   Pinmode:SD0_D0</v>
      </c>
      <c r="W54" s="1">
        <f t="shared" si="1"/>
        <v>0</v>
      </c>
      <c r="X54" s="1" t="str">
        <f t="shared" si="2"/>
        <v>SD0_D0</v>
      </c>
      <c r="Z54" s="86" t="s">
        <v>223</v>
      </c>
      <c r="AA54" s="76" t="s">
        <v>120</v>
      </c>
      <c r="AB54" s="67" t="s">
        <v>223</v>
      </c>
      <c r="AC54" s="76" t="s">
        <v>120</v>
      </c>
      <c r="AD54" s="67" t="s">
        <v>223</v>
      </c>
      <c r="AE54" s="76" t="s">
        <v>120</v>
      </c>
      <c r="AF54" s="67" t="s">
        <v>223</v>
      </c>
      <c r="AG54" s="76" t="s">
        <v>120</v>
      </c>
      <c r="AH54" s="67" t="s">
        <v>223</v>
      </c>
      <c r="AI54" s="76" t="s">
        <v>120</v>
      </c>
      <c r="AJ54" s="67" t="s">
        <v>223</v>
      </c>
      <c r="AK54" s="76" t="s">
        <v>120</v>
      </c>
      <c r="AL54" s="67" t="s">
        <v>223</v>
      </c>
      <c r="AM54" s="76" t="s">
        <v>120</v>
      </c>
      <c r="AN54" s="67" t="s">
        <v>223</v>
      </c>
      <c r="AO54" s="77" t="s">
        <v>120</v>
      </c>
    </row>
    <row r="55" spans="2:41" x14ac:dyDescent="0.2">
      <c r="B55" s="10" t="s">
        <v>316</v>
      </c>
      <c r="C55" s="13" t="s">
        <v>39</v>
      </c>
      <c r="D55" s="12" t="s">
        <v>93</v>
      </c>
      <c r="E55" s="71" t="str">
        <f t="shared" si="3"/>
        <v>0x02B0</v>
      </c>
      <c r="F55" s="13" t="s">
        <v>379</v>
      </c>
      <c r="G55" s="13" t="s">
        <v>321</v>
      </c>
      <c r="H55" s="7" t="s">
        <v>18</v>
      </c>
      <c r="I55" s="7" t="s">
        <v>14</v>
      </c>
      <c r="J55" s="24" t="s">
        <v>15</v>
      </c>
      <c r="K55" s="95"/>
      <c r="L55" s="93" t="s">
        <v>78</v>
      </c>
      <c r="M55" s="23" t="s">
        <v>235</v>
      </c>
      <c r="N55" s="7" t="s">
        <v>236</v>
      </c>
      <c r="O55" s="7" t="s">
        <v>429</v>
      </c>
      <c r="P55" s="9" t="s">
        <v>432</v>
      </c>
      <c r="R55" s="20" t="str">
        <f t="shared" si="4"/>
        <v>10</v>
      </c>
      <c r="S55" s="7" t="str">
        <f t="shared" si="5"/>
        <v>00</v>
      </c>
      <c r="T55" s="7" t="str">
        <f t="shared" si="6"/>
        <v>000</v>
      </c>
      <c r="U55" s="9" t="str">
        <f t="shared" si="7"/>
        <v>//0x00400000   Pinmode:SD0_CMD</v>
      </c>
      <c r="W55" s="1">
        <f t="shared" si="1"/>
        <v>0</v>
      </c>
      <c r="X55" s="1" t="str">
        <f t="shared" si="2"/>
        <v>SD0_CMD</v>
      </c>
      <c r="Z55" s="86" t="s">
        <v>224</v>
      </c>
      <c r="AA55" s="76" t="s">
        <v>120</v>
      </c>
      <c r="AB55" s="67" t="s">
        <v>224</v>
      </c>
      <c r="AC55" s="76" t="s">
        <v>120</v>
      </c>
      <c r="AD55" s="67" t="s">
        <v>224</v>
      </c>
      <c r="AE55" s="76" t="s">
        <v>120</v>
      </c>
      <c r="AF55" s="67" t="s">
        <v>224</v>
      </c>
      <c r="AG55" s="76" t="s">
        <v>120</v>
      </c>
      <c r="AH55" s="67" t="s">
        <v>224</v>
      </c>
      <c r="AI55" s="76" t="s">
        <v>120</v>
      </c>
      <c r="AJ55" s="67" t="s">
        <v>224</v>
      </c>
      <c r="AK55" s="76" t="s">
        <v>120</v>
      </c>
      <c r="AL55" s="67" t="s">
        <v>224</v>
      </c>
      <c r="AM55" s="76" t="s">
        <v>120</v>
      </c>
      <c r="AN55" s="67" t="s">
        <v>224</v>
      </c>
      <c r="AO55" s="77" t="s">
        <v>120</v>
      </c>
    </row>
    <row r="56" spans="2:41" x14ac:dyDescent="0.2">
      <c r="B56" s="10" t="s">
        <v>317</v>
      </c>
      <c r="C56" s="13" t="s">
        <v>40</v>
      </c>
      <c r="D56" s="12" t="s">
        <v>93</v>
      </c>
      <c r="E56" s="71" t="str">
        <f t="shared" si="3"/>
        <v>0x02B4</v>
      </c>
      <c r="F56" s="13" t="s">
        <v>380</v>
      </c>
      <c r="G56" s="13" t="s">
        <v>321</v>
      </c>
      <c r="H56" s="7" t="s">
        <v>18</v>
      </c>
      <c r="I56" s="7" t="s">
        <v>14</v>
      </c>
      <c r="J56" s="24" t="s">
        <v>15</v>
      </c>
      <c r="K56" s="95"/>
      <c r="L56" s="93" t="s">
        <v>78</v>
      </c>
      <c r="M56" s="23" t="s">
        <v>235</v>
      </c>
      <c r="N56" s="7" t="s">
        <v>236</v>
      </c>
      <c r="O56" s="7" t="s">
        <v>429</v>
      </c>
      <c r="P56" s="9" t="s">
        <v>432</v>
      </c>
      <c r="R56" s="20" t="str">
        <f t="shared" si="4"/>
        <v>10</v>
      </c>
      <c r="S56" s="7" t="str">
        <f t="shared" si="5"/>
        <v>00</v>
      </c>
      <c r="T56" s="7" t="str">
        <f t="shared" si="6"/>
        <v>000</v>
      </c>
      <c r="U56" s="9" t="str">
        <f t="shared" si="7"/>
        <v>//0x00400000   Pinmode:SD0_CLK</v>
      </c>
      <c r="W56" s="1">
        <f t="shared" si="1"/>
        <v>0</v>
      </c>
      <c r="X56" s="1" t="str">
        <f t="shared" si="2"/>
        <v>SD0_CLK</v>
      </c>
      <c r="Z56" s="86" t="s">
        <v>225</v>
      </c>
      <c r="AA56" s="76" t="s">
        <v>37</v>
      </c>
      <c r="AB56" s="67" t="s">
        <v>225</v>
      </c>
      <c r="AC56" s="76" t="s">
        <v>37</v>
      </c>
      <c r="AD56" s="67" t="s">
        <v>225</v>
      </c>
      <c r="AE56" s="76" t="s">
        <v>37</v>
      </c>
      <c r="AF56" s="67" t="s">
        <v>225</v>
      </c>
      <c r="AG56" s="76" t="s">
        <v>37</v>
      </c>
      <c r="AH56" s="67" t="s">
        <v>225</v>
      </c>
      <c r="AI56" s="76" t="s">
        <v>37</v>
      </c>
      <c r="AJ56" s="67" t="s">
        <v>225</v>
      </c>
      <c r="AK56" s="76" t="s">
        <v>37</v>
      </c>
      <c r="AL56" s="67" t="s">
        <v>225</v>
      </c>
      <c r="AM56" s="76" t="s">
        <v>37</v>
      </c>
      <c r="AN56" s="67" t="s">
        <v>225</v>
      </c>
      <c r="AO56" s="77" t="s">
        <v>37</v>
      </c>
    </row>
    <row r="57" spans="2:41" x14ac:dyDescent="0.2">
      <c r="B57" s="10" t="s">
        <v>318</v>
      </c>
      <c r="C57" s="13" t="s">
        <v>41</v>
      </c>
      <c r="D57" s="12" t="s">
        <v>93</v>
      </c>
      <c r="E57" s="71" t="str">
        <f t="shared" si="3"/>
        <v>0x02B8</v>
      </c>
      <c r="F57" s="13" t="s">
        <v>381</v>
      </c>
      <c r="G57" s="13" t="s">
        <v>321</v>
      </c>
      <c r="H57" s="7" t="s">
        <v>18</v>
      </c>
      <c r="I57" s="7" t="s">
        <v>14</v>
      </c>
      <c r="J57" s="24" t="s">
        <v>15</v>
      </c>
      <c r="K57" s="95"/>
      <c r="L57" s="93" t="s">
        <v>78</v>
      </c>
      <c r="M57" s="23" t="s">
        <v>235</v>
      </c>
      <c r="N57" s="7" t="s">
        <v>236</v>
      </c>
      <c r="O57" s="7" t="s">
        <v>429</v>
      </c>
      <c r="P57" s="9" t="s">
        <v>432</v>
      </c>
      <c r="R57" s="20" t="str">
        <f t="shared" si="4"/>
        <v>10</v>
      </c>
      <c r="S57" s="7" t="str">
        <f t="shared" si="5"/>
        <v>00</v>
      </c>
      <c r="T57" s="7" t="str">
        <f t="shared" si="6"/>
        <v>000</v>
      </c>
      <c r="U57" s="9" t="str">
        <f t="shared" si="7"/>
        <v>//0x00400000   Pinmode:SD0_CARD_PWREN</v>
      </c>
      <c r="W57" s="1">
        <f t="shared" si="1"/>
        <v>0</v>
      </c>
      <c r="X57" s="1" t="str">
        <f t="shared" si="2"/>
        <v>SD0_CARD_PWREN</v>
      </c>
      <c r="Z57" s="86" t="s">
        <v>226</v>
      </c>
      <c r="AA57" s="76" t="s">
        <v>37</v>
      </c>
      <c r="AB57" s="67" t="s">
        <v>226</v>
      </c>
      <c r="AC57" s="76" t="s">
        <v>37</v>
      </c>
      <c r="AD57" s="67" t="s">
        <v>226</v>
      </c>
      <c r="AE57" s="76" t="s">
        <v>37</v>
      </c>
      <c r="AF57" s="67" t="s">
        <v>226</v>
      </c>
      <c r="AG57" s="76" t="s">
        <v>37</v>
      </c>
      <c r="AH57" s="67" t="s">
        <v>226</v>
      </c>
      <c r="AI57" s="76" t="s">
        <v>37</v>
      </c>
      <c r="AJ57" s="67" t="s">
        <v>226</v>
      </c>
      <c r="AK57" s="76" t="s">
        <v>37</v>
      </c>
      <c r="AL57" s="58" t="s">
        <v>227</v>
      </c>
      <c r="AM57" s="76" t="s">
        <v>37</v>
      </c>
      <c r="AN57" s="59" t="s">
        <v>462</v>
      </c>
      <c r="AO57" s="77" t="s">
        <v>120</v>
      </c>
    </row>
    <row r="58" spans="2:41" x14ac:dyDescent="0.2">
      <c r="B58" s="10" t="s">
        <v>319</v>
      </c>
      <c r="C58" s="13" t="s">
        <v>42</v>
      </c>
      <c r="D58" s="12" t="s">
        <v>93</v>
      </c>
      <c r="E58" s="71" t="str">
        <f t="shared" si="3"/>
        <v>0x02BC</v>
      </c>
      <c r="F58" s="13" t="s">
        <v>382</v>
      </c>
      <c r="G58" s="13" t="s">
        <v>321</v>
      </c>
      <c r="H58" s="7" t="s">
        <v>18</v>
      </c>
      <c r="I58" s="7" t="s">
        <v>14</v>
      </c>
      <c r="J58" s="24" t="s">
        <v>15</v>
      </c>
      <c r="K58" s="95"/>
      <c r="L58" s="93" t="s">
        <v>78</v>
      </c>
      <c r="M58" s="23" t="s">
        <v>235</v>
      </c>
      <c r="N58" s="7" t="s">
        <v>236</v>
      </c>
      <c r="O58" s="7" t="s">
        <v>429</v>
      </c>
      <c r="P58" s="9" t="s">
        <v>432</v>
      </c>
      <c r="R58" s="20" t="str">
        <f t="shared" si="4"/>
        <v>10</v>
      </c>
      <c r="S58" s="7" t="str">
        <f t="shared" si="5"/>
        <v>00</v>
      </c>
      <c r="T58" s="7" t="str">
        <f t="shared" si="6"/>
        <v>000</v>
      </c>
      <c r="U58" s="9" t="str">
        <f t="shared" si="7"/>
        <v>//0x00400000   Pinmode:SD0_CARD_DET</v>
      </c>
      <c r="W58" s="1">
        <f t="shared" si="1"/>
        <v>0</v>
      </c>
      <c r="X58" s="1" t="str">
        <f t="shared" si="2"/>
        <v>SD0_CARD_DET</v>
      </c>
      <c r="Z58" s="86" t="s">
        <v>228</v>
      </c>
      <c r="AA58" s="76" t="s">
        <v>32</v>
      </c>
      <c r="AB58" s="67" t="s">
        <v>228</v>
      </c>
      <c r="AC58" s="76" t="s">
        <v>32</v>
      </c>
      <c r="AD58" s="67" t="s">
        <v>228</v>
      </c>
      <c r="AE58" s="76" t="s">
        <v>32</v>
      </c>
      <c r="AF58" s="67" t="s">
        <v>228</v>
      </c>
      <c r="AG58" s="76" t="s">
        <v>32</v>
      </c>
      <c r="AH58" s="67" t="s">
        <v>228</v>
      </c>
      <c r="AI58" s="76" t="s">
        <v>32</v>
      </c>
      <c r="AJ58" s="67" t="s">
        <v>228</v>
      </c>
      <c r="AK58" s="76" t="s">
        <v>32</v>
      </c>
      <c r="AL58" s="58" t="s">
        <v>229</v>
      </c>
      <c r="AM58" s="76" t="s">
        <v>37</v>
      </c>
      <c r="AN58" s="59" t="s">
        <v>463</v>
      </c>
      <c r="AO58" s="77" t="s">
        <v>120</v>
      </c>
    </row>
    <row r="59" spans="2:41" x14ac:dyDescent="0.2">
      <c r="B59" s="10" t="s">
        <v>320</v>
      </c>
      <c r="C59" s="13" t="s">
        <v>43</v>
      </c>
      <c r="D59" s="12" t="s">
        <v>93</v>
      </c>
      <c r="E59" s="71" t="str">
        <f t="shared" si="3"/>
        <v>0x02C0</v>
      </c>
      <c r="F59" s="13" t="s">
        <v>383</v>
      </c>
      <c r="G59" s="13" t="s">
        <v>321</v>
      </c>
      <c r="H59" s="7" t="s">
        <v>18</v>
      </c>
      <c r="I59" s="7" t="s">
        <v>14</v>
      </c>
      <c r="J59" s="24" t="s">
        <v>15</v>
      </c>
      <c r="K59" s="95"/>
      <c r="L59" s="93" t="s">
        <v>78</v>
      </c>
      <c r="M59" s="23" t="s">
        <v>235</v>
      </c>
      <c r="N59" s="7" t="s">
        <v>236</v>
      </c>
      <c r="O59" s="7" t="s">
        <v>429</v>
      </c>
      <c r="P59" s="9" t="s">
        <v>432</v>
      </c>
      <c r="R59" s="20" t="str">
        <f t="shared" si="4"/>
        <v>10</v>
      </c>
      <c r="S59" s="7" t="str">
        <f t="shared" si="5"/>
        <v>00</v>
      </c>
      <c r="T59" s="7" t="str">
        <f t="shared" si="6"/>
        <v>000</v>
      </c>
      <c r="U59" s="9" t="str">
        <f t="shared" si="7"/>
        <v>//0x00400000   Pinmode:MCU_JTAG_TDO</v>
      </c>
      <c r="W59" s="1">
        <f t="shared" si="1"/>
        <v>0</v>
      </c>
      <c r="X59" s="1" t="str">
        <f t="shared" si="2"/>
        <v>MCU_JTAG_TDO</v>
      </c>
      <c r="Z59" s="81" t="s">
        <v>203</v>
      </c>
      <c r="AA59" s="76" t="s">
        <v>37</v>
      </c>
      <c r="AB59" s="67" t="s">
        <v>233</v>
      </c>
      <c r="AC59" s="76" t="s">
        <v>32</v>
      </c>
      <c r="AD59" s="67" t="s">
        <v>233</v>
      </c>
      <c r="AE59" s="76" t="s">
        <v>32</v>
      </c>
      <c r="AF59" s="67" t="s">
        <v>233</v>
      </c>
      <c r="AG59" s="76" t="s">
        <v>32</v>
      </c>
      <c r="AH59" s="67" t="s">
        <v>233</v>
      </c>
      <c r="AI59" s="76" t="s">
        <v>32</v>
      </c>
      <c r="AJ59" s="67" t="s">
        <v>233</v>
      </c>
      <c r="AK59" s="76" t="s">
        <v>32</v>
      </c>
      <c r="AL59" s="58" t="s">
        <v>234</v>
      </c>
      <c r="AM59" s="76" t="s">
        <v>37</v>
      </c>
      <c r="AN59" s="59" t="s">
        <v>464</v>
      </c>
      <c r="AO59" s="77" t="s">
        <v>120</v>
      </c>
    </row>
    <row r="60" spans="2:41" x14ac:dyDescent="0.2">
      <c r="B60" s="10" t="s">
        <v>301</v>
      </c>
      <c r="C60" s="13" t="s">
        <v>44</v>
      </c>
      <c r="D60" s="12" t="s">
        <v>93</v>
      </c>
      <c r="E60" s="71" t="str">
        <f t="shared" si="3"/>
        <v>0x02C4</v>
      </c>
      <c r="F60" s="13" t="s">
        <v>384</v>
      </c>
      <c r="G60" s="13" t="s">
        <v>321</v>
      </c>
      <c r="H60" s="7" t="s">
        <v>18</v>
      </c>
      <c r="I60" s="7" t="s">
        <v>14</v>
      </c>
      <c r="J60" s="24" t="s">
        <v>15</v>
      </c>
      <c r="K60" s="95"/>
      <c r="L60" s="93" t="s">
        <v>231</v>
      </c>
      <c r="M60" s="23" t="s">
        <v>235</v>
      </c>
      <c r="N60" s="7" t="s">
        <v>236</v>
      </c>
      <c r="O60" s="7" t="s">
        <v>429</v>
      </c>
      <c r="P60" s="9" t="s">
        <v>432</v>
      </c>
      <c r="R60" s="20" t="str">
        <f t="shared" si="4"/>
        <v>10</v>
      </c>
      <c r="S60" s="7" t="str">
        <f t="shared" si="5"/>
        <v>00</v>
      </c>
      <c r="T60" s="7" t="str">
        <f t="shared" si="6"/>
        <v>000</v>
      </c>
      <c r="U60" s="9" t="str">
        <f t="shared" si="7"/>
        <v>//0x00400000   Pinmode:PWM0</v>
      </c>
      <c r="W60" s="1">
        <f t="shared" si="1"/>
        <v>0</v>
      </c>
      <c r="X60" s="1" t="str">
        <f t="shared" si="2"/>
        <v>PWM0</v>
      </c>
      <c r="Z60" s="87" t="s">
        <v>50</v>
      </c>
      <c r="AA60" s="76" t="s">
        <v>37</v>
      </c>
      <c r="AB60" s="57" t="s">
        <v>50</v>
      </c>
      <c r="AC60" s="76" t="s">
        <v>37</v>
      </c>
      <c r="AD60" s="57" t="s">
        <v>50</v>
      </c>
      <c r="AE60" s="76" t="s">
        <v>37</v>
      </c>
      <c r="AF60" s="56" t="s">
        <v>121</v>
      </c>
      <c r="AG60" s="76" t="s">
        <v>32</v>
      </c>
      <c r="AH60" s="55" t="s">
        <v>22</v>
      </c>
      <c r="AI60" s="76" t="s">
        <v>120</v>
      </c>
      <c r="AJ60" s="57" t="s">
        <v>50</v>
      </c>
      <c r="AK60" s="76" t="s">
        <v>37</v>
      </c>
      <c r="AL60" s="58" t="s">
        <v>205</v>
      </c>
      <c r="AM60" s="76" t="s">
        <v>37</v>
      </c>
      <c r="AN60" s="59" t="s">
        <v>465</v>
      </c>
      <c r="AO60" s="77" t="s">
        <v>120</v>
      </c>
    </row>
    <row r="61" spans="2:41" x14ac:dyDescent="0.2">
      <c r="B61" s="10" t="s">
        <v>277</v>
      </c>
      <c r="C61" s="13" t="s">
        <v>45</v>
      </c>
      <c r="D61" s="12" t="s">
        <v>93</v>
      </c>
      <c r="E61" s="71" t="str">
        <f t="shared" si="3"/>
        <v>0x02C8</v>
      </c>
      <c r="F61" s="13" t="s">
        <v>385</v>
      </c>
      <c r="G61" s="13" t="s">
        <v>321</v>
      </c>
      <c r="H61" s="7" t="s">
        <v>52</v>
      </c>
      <c r="I61" s="7" t="s">
        <v>14</v>
      </c>
      <c r="J61" s="24" t="s">
        <v>15</v>
      </c>
      <c r="K61" s="95"/>
      <c r="L61" s="93" t="s">
        <v>78</v>
      </c>
      <c r="M61" s="23" t="s">
        <v>235</v>
      </c>
      <c r="N61" s="7" t="s">
        <v>236</v>
      </c>
      <c r="O61" s="7" t="s">
        <v>429</v>
      </c>
      <c r="P61" s="9" t="s">
        <v>432</v>
      </c>
      <c r="R61" s="20" t="str">
        <f t="shared" si="4"/>
        <v>10</v>
      </c>
      <c r="S61" s="7" t="str">
        <f t="shared" si="5"/>
        <v>00</v>
      </c>
      <c r="T61" s="7" t="str">
        <f t="shared" si="6"/>
        <v>010</v>
      </c>
      <c r="U61" s="9" t="str">
        <f t="shared" si="7"/>
        <v>//0x00400002   Pinmode:DSP_JTAG_TDO</v>
      </c>
      <c r="W61" s="1">
        <f t="shared" si="1"/>
        <v>2</v>
      </c>
      <c r="X61" s="1" t="str">
        <f t="shared" si="2"/>
        <v>DSP_JTAG_TDO</v>
      </c>
      <c r="Z61" s="87" t="s">
        <v>123</v>
      </c>
      <c r="AA61" s="76" t="s">
        <v>37</v>
      </c>
      <c r="AB61" s="57" t="s">
        <v>123</v>
      </c>
      <c r="AC61" s="76" t="s">
        <v>37</v>
      </c>
      <c r="AD61" s="68" t="s">
        <v>165</v>
      </c>
      <c r="AE61" s="76" t="s">
        <v>37</v>
      </c>
      <c r="AF61" s="64" t="s">
        <v>166</v>
      </c>
      <c r="AG61" s="76" t="s">
        <v>32</v>
      </c>
      <c r="AH61" s="55" t="s">
        <v>25</v>
      </c>
      <c r="AI61" s="76" t="s">
        <v>120</v>
      </c>
      <c r="AJ61" s="57" t="s">
        <v>123</v>
      </c>
      <c r="AK61" s="76" t="s">
        <v>37</v>
      </c>
      <c r="AL61" s="58" t="s">
        <v>167</v>
      </c>
      <c r="AM61" s="76" t="s">
        <v>37</v>
      </c>
      <c r="AN61" s="59" t="s">
        <v>466</v>
      </c>
      <c r="AO61" s="77" t="s">
        <v>120</v>
      </c>
    </row>
    <row r="62" spans="2:41" x14ac:dyDescent="0.2">
      <c r="B62" s="10" t="s">
        <v>239</v>
      </c>
      <c r="C62" s="13" t="s">
        <v>46</v>
      </c>
      <c r="D62" s="12" t="s">
        <v>93</v>
      </c>
      <c r="E62" s="71" t="str">
        <f t="shared" si="3"/>
        <v>0x02CC</v>
      </c>
      <c r="F62" s="13" t="s">
        <v>386</v>
      </c>
      <c r="G62" s="13" t="s">
        <v>323</v>
      </c>
      <c r="H62" s="7" t="str">
        <f>Default_mod</f>
        <v>PIN_MODE_0</v>
      </c>
      <c r="I62" s="7" t="str">
        <f>Default_pud</f>
        <v>PIN_PULL_NONE</v>
      </c>
      <c r="J62" s="24" t="str">
        <f>Default_drv</f>
        <v>PIN_DRIVING_12MA</v>
      </c>
      <c r="K62" s="95"/>
      <c r="L62" s="93" t="s">
        <v>78</v>
      </c>
      <c r="M62" s="23" t="s">
        <v>235</v>
      </c>
      <c r="N62" s="7" t="s">
        <v>236</v>
      </c>
      <c r="O62" s="7" t="s">
        <v>429</v>
      </c>
      <c r="P62" s="9" t="s">
        <v>432</v>
      </c>
      <c r="R62" s="20" t="str">
        <f t="shared" si="4"/>
        <v>10</v>
      </c>
      <c r="S62" s="7" t="str">
        <f t="shared" si="5"/>
        <v>00</v>
      </c>
      <c r="T62" s="7" t="str">
        <f t="shared" si="6"/>
        <v>000</v>
      </c>
      <c r="U62" s="9" t="str">
        <f t="shared" si="7"/>
        <v>//0x00400000   Pinmode:DPI_PCLKI</v>
      </c>
      <c r="W62" s="1">
        <f t="shared" si="1"/>
        <v>0</v>
      </c>
      <c r="X62" s="1" t="str">
        <f t="shared" si="2"/>
        <v>DPI_PCLKI</v>
      </c>
      <c r="Z62" s="88" t="s">
        <v>96</v>
      </c>
      <c r="AA62" s="76" t="s">
        <v>32</v>
      </c>
      <c r="AB62" s="69" t="s">
        <v>96</v>
      </c>
      <c r="AC62" s="76" t="s">
        <v>32</v>
      </c>
      <c r="AD62" s="69" t="s">
        <v>96</v>
      </c>
      <c r="AE62" s="76" t="s">
        <v>32</v>
      </c>
      <c r="AF62" s="69" t="s">
        <v>96</v>
      </c>
      <c r="AG62" s="76" t="s">
        <v>32</v>
      </c>
      <c r="AH62" s="69" t="s">
        <v>96</v>
      </c>
      <c r="AI62" s="76" t="s">
        <v>32</v>
      </c>
      <c r="AJ62" s="69" t="s">
        <v>96</v>
      </c>
      <c r="AK62" s="76" t="s">
        <v>32</v>
      </c>
      <c r="AL62" s="69" t="s">
        <v>96</v>
      </c>
      <c r="AM62" s="76" t="s">
        <v>32</v>
      </c>
      <c r="AN62" s="69" t="s">
        <v>96</v>
      </c>
      <c r="AO62" s="77" t="s">
        <v>32</v>
      </c>
    </row>
    <row r="63" spans="2:41" x14ac:dyDescent="0.2">
      <c r="B63" s="10" t="s">
        <v>240</v>
      </c>
      <c r="C63" s="13" t="s">
        <v>47</v>
      </c>
      <c r="D63" s="12" t="s">
        <v>93</v>
      </c>
      <c r="E63" s="71" t="str">
        <f t="shared" si="3"/>
        <v>0x02D0</v>
      </c>
      <c r="F63" s="13" t="s">
        <v>387</v>
      </c>
      <c r="G63" s="13" t="s">
        <v>323</v>
      </c>
      <c r="H63" s="7" t="str">
        <f>Default_mod</f>
        <v>PIN_MODE_0</v>
      </c>
      <c r="I63" s="7" t="str">
        <f>Default_pud</f>
        <v>PIN_PULL_NONE</v>
      </c>
      <c r="J63" s="24" t="str">
        <f>Default_drv</f>
        <v>PIN_DRIVING_12MA</v>
      </c>
      <c r="K63" s="95"/>
      <c r="L63" s="93" t="s">
        <v>78</v>
      </c>
      <c r="M63" s="23" t="s">
        <v>235</v>
      </c>
      <c r="N63" s="7" t="s">
        <v>236</v>
      </c>
      <c r="O63" s="7" t="s">
        <v>429</v>
      </c>
      <c r="P63" s="9" t="s">
        <v>432</v>
      </c>
      <c r="R63" s="20" t="str">
        <f t="shared" si="4"/>
        <v>10</v>
      </c>
      <c r="S63" s="7" t="str">
        <f t="shared" si="5"/>
        <v>00</v>
      </c>
      <c r="T63" s="7" t="str">
        <f t="shared" si="6"/>
        <v>000</v>
      </c>
      <c r="U63" s="9" t="str">
        <f t="shared" si="7"/>
        <v>//0x00400000   Pinmode:DPI_VSI</v>
      </c>
      <c r="W63" s="1">
        <f t="shared" si="1"/>
        <v>0</v>
      </c>
      <c r="X63" s="1" t="str">
        <f t="shared" si="2"/>
        <v>DPI_VSI</v>
      </c>
      <c r="Z63" s="88" t="s">
        <v>97</v>
      </c>
      <c r="AA63" s="76" t="s">
        <v>32</v>
      </c>
      <c r="AB63" s="69" t="s">
        <v>97</v>
      </c>
      <c r="AC63" s="76" t="s">
        <v>32</v>
      </c>
      <c r="AD63" s="69" t="s">
        <v>97</v>
      </c>
      <c r="AE63" s="76" t="s">
        <v>32</v>
      </c>
      <c r="AF63" s="69" t="s">
        <v>97</v>
      </c>
      <c r="AG63" s="76" t="s">
        <v>32</v>
      </c>
      <c r="AH63" s="69" t="s">
        <v>97</v>
      </c>
      <c r="AI63" s="76" t="s">
        <v>32</v>
      </c>
      <c r="AJ63" s="69" t="s">
        <v>97</v>
      </c>
      <c r="AK63" s="76" t="s">
        <v>32</v>
      </c>
      <c r="AL63" s="69" t="s">
        <v>97</v>
      </c>
      <c r="AM63" s="76" t="s">
        <v>32</v>
      </c>
      <c r="AN63" s="69" t="s">
        <v>97</v>
      </c>
      <c r="AO63" s="77" t="s">
        <v>32</v>
      </c>
    </row>
    <row r="64" spans="2:41" x14ac:dyDescent="0.2">
      <c r="B64" s="10" t="s">
        <v>241</v>
      </c>
      <c r="C64" s="13" t="s">
        <v>48</v>
      </c>
      <c r="D64" s="12" t="s">
        <v>93</v>
      </c>
      <c r="E64" s="71" t="str">
        <f t="shared" si="3"/>
        <v>0x02D4</v>
      </c>
      <c r="F64" s="13" t="s">
        <v>388</v>
      </c>
      <c r="G64" s="13" t="s">
        <v>323</v>
      </c>
      <c r="H64" s="7" t="str">
        <f>Default_mod</f>
        <v>PIN_MODE_0</v>
      </c>
      <c r="I64" s="7" t="str">
        <f>Default_pud</f>
        <v>PIN_PULL_NONE</v>
      </c>
      <c r="J64" s="24" t="str">
        <f>Default_drv</f>
        <v>PIN_DRIVING_12MA</v>
      </c>
      <c r="K64" s="95"/>
      <c r="L64" s="93" t="s">
        <v>78</v>
      </c>
      <c r="M64" s="23" t="s">
        <v>235</v>
      </c>
      <c r="N64" s="7" t="s">
        <v>236</v>
      </c>
      <c r="O64" s="7" t="s">
        <v>429</v>
      </c>
      <c r="P64" s="9" t="s">
        <v>432</v>
      </c>
      <c r="R64" s="20" t="str">
        <f t="shared" si="4"/>
        <v>10</v>
      </c>
      <c r="S64" s="7" t="str">
        <f t="shared" si="5"/>
        <v>00</v>
      </c>
      <c r="T64" s="7" t="str">
        <f t="shared" si="6"/>
        <v>000</v>
      </c>
      <c r="U64" s="9" t="str">
        <f t="shared" si="7"/>
        <v>//0x00400000   Pinmode:DPI_HSI</v>
      </c>
      <c r="W64" s="1">
        <f t="shared" si="1"/>
        <v>0</v>
      </c>
      <c r="X64" s="1" t="str">
        <f t="shared" si="2"/>
        <v>DPI_HSI</v>
      </c>
      <c r="Z64" s="88" t="s">
        <v>98</v>
      </c>
      <c r="AA64" s="76" t="s">
        <v>32</v>
      </c>
      <c r="AB64" s="69" t="s">
        <v>98</v>
      </c>
      <c r="AC64" s="76" t="s">
        <v>32</v>
      </c>
      <c r="AD64" s="69" t="s">
        <v>98</v>
      </c>
      <c r="AE64" s="76" t="s">
        <v>32</v>
      </c>
      <c r="AF64" s="69" t="s">
        <v>98</v>
      </c>
      <c r="AG64" s="76" t="s">
        <v>32</v>
      </c>
      <c r="AH64" s="69" t="s">
        <v>98</v>
      </c>
      <c r="AI64" s="76" t="s">
        <v>32</v>
      </c>
      <c r="AJ64" s="69" t="s">
        <v>98</v>
      </c>
      <c r="AK64" s="76" t="s">
        <v>32</v>
      </c>
      <c r="AL64" s="69" t="s">
        <v>98</v>
      </c>
      <c r="AM64" s="76" t="s">
        <v>32</v>
      </c>
      <c r="AN64" s="69" t="s">
        <v>98</v>
      </c>
      <c r="AO64" s="77" t="s">
        <v>32</v>
      </c>
    </row>
    <row r="65" spans="2:41" x14ac:dyDescent="0.2">
      <c r="B65" s="10" t="s">
        <v>242</v>
      </c>
      <c r="C65" s="13" t="s">
        <v>28</v>
      </c>
      <c r="D65" s="12" t="s">
        <v>93</v>
      </c>
      <c r="E65" s="71" t="str">
        <f t="shared" si="3"/>
        <v>0x02D8</v>
      </c>
      <c r="F65" s="13" t="s">
        <v>389</v>
      </c>
      <c r="G65" s="13" t="s">
        <v>323</v>
      </c>
      <c r="H65" s="7" t="str">
        <f>Default_mod</f>
        <v>PIN_MODE_0</v>
      </c>
      <c r="I65" s="7" t="str">
        <f>Default_pud</f>
        <v>PIN_PULL_NONE</v>
      </c>
      <c r="J65" s="24" t="str">
        <f>Default_drv</f>
        <v>PIN_DRIVING_12MA</v>
      </c>
      <c r="K65" s="95"/>
      <c r="L65" s="93" t="s">
        <v>78</v>
      </c>
      <c r="M65" s="23" t="s">
        <v>235</v>
      </c>
      <c r="N65" s="7" t="s">
        <v>236</v>
      </c>
      <c r="O65" s="7" t="s">
        <v>429</v>
      </c>
      <c r="P65" s="9" t="s">
        <v>432</v>
      </c>
      <c r="R65" s="20" t="str">
        <f t="shared" si="4"/>
        <v>10</v>
      </c>
      <c r="S65" s="7" t="str">
        <f t="shared" si="5"/>
        <v>00</v>
      </c>
      <c r="T65" s="7" t="str">
        <f t="shared" si="6"/>
        <v>000</v>
      </c>
      <c r="U65" s="9" t="str">
        <f t="shared" si="7"/>
        <v>//0x00400000   Pinmode:DPI_DEI</v>
      </c>
      <c r="W65" s="1">
        <f t="shared" si="1"/>
        <v>0</v>
      </c>
      <c r="X65" s="1" t="str">
        <f t="shared" si="2"/>
        <v>DPI_DEI</v>
      </c>
      <c r="Z65" s="88" t="s">
        <v>99</v>
      </c>
      <c r="AA65" s="76" t="s">
        <v>32</v>
      </c>
      <c r="AB65" s="69" t="s">
        <v>99</v>
      </c>
      <c r="AC65" s="76" t="s">
        <v>32</v>
      </c>
      <c r="AD65" s="69" t="s">
        <v>99</v>
      </c>
      <c r="AE65" s="76" t="s">
        <v>32</v>
      </c>
      <c r="AF65" s="69" t="s">
        <v>99</v>
      </c>
      <c r="AG65" s="76" t="s">
        <v>32</v>
      </c>
      <c r="AH65" s="69" t="s">
        <v>99</v>
      </c>
      <c r="AI65" s="76" t="s">
        <v>32</v>
      </c>
      <c r="AJ65" s="69" t="s">
        <v>99</v>
      </c>
      <c r="AK65" s="76" t="s">
        <v>32</v>
      </c>
      <c r="AL65" s="69" t="s">
        <v>99</v>
      </c>
      <c r="AM65" s="76" t="s">
        <v>32</v>
      </c>
      <c r="AN65" s="69" t="s">
        <v>99</v>
      </c>
      <c r="AO65" s="77" t="s">
        <v>32</v>
      </c>
    </row>
    <row r="66" spans="2:41" x14ac:dyDescent="0.2">
      <c r="B66" s="10" t="s">
        <v>243</v>
      </c>
      <c r="C66" s="13" t="s">
        <v>30</v>
      </c>
      <c r="D66" s="12" t="s">
        <v>93</v>
      </c>
      <c r="E66" s="71" t="str">
        <f t="shared" si="3"/>
        <v>0x02DC</v>
      </c>
      <c r="F66" s="13" t="s">
        <v>390</v>
      </c>
      <c r="G66" s="13" t="s">
        <v>323</v>
      </c>
      <c r="H66" s="7" t="str">
        <f>Default_mod</f>
        <v>PIN_MODE_0</v>
      </c>
      <c r="I66" s="7" t="str">
        <f>Default_pud</f>
        <v>PIN_PULL_NONE</v>
      </c>
      <c r="J66" s="24" t="str">
        <f>Default_drv</f>
        <v>PIN_DRIVING_12MA</v>
      </c>
      <c r="K66" s="95"/>
      <c r="L66" s="93" t="s">
        <v>78</v>
      </c>
      <c r="M66" s="23" t="s">
        <v>235</v>
      </c>
      <c r="N66" s="7" t="s">
        <v>236</v>
      </c>
      <c r="O66" s="7" t="s">
        <v>429</v>
      </c>
      <c r="P66" s="9" t="s">
        <v>432</v>
      </c>
      <c r="R66" s="20" t="str">
        <f t="shared" si="4"/>
        <v>10</v>
      </c>
      <c r="S66" s="7" t="str">
        <f t="shared" si="5"/>
        <v>00</v>
      </c>
      <c r="T66" s="7" t="str">
        <f t="shared" si="6"/>
        <v>000</v>
      </c>
      <c r="U66" s="9" t="str">
        <f t="shared" si="7"/>
        <v>//0x00400000   Pinmode:DPI_DATAI[0]</v>
      </c>
      <c r="W66" s="1">
        <f t="shared" si="1"/>
        <v>0</v>
      </c>
      <c r="X66" s="1" t="str">
        <f t="shared" si="2"/>
        <v>DPI_DATAI[0]</v>
      </c>
      <c r="Z66" s="88" t="s">
        <v>100</v>
      </c>
      <c r="AA66" s="76" t="s">
        <v>32</v>
      </c>
      <c r="AB66" s="69" t="s">
        <v>100</v>
      </c>
      <c r="AC66" s="76" t="s">
        <v>32</v>
      </c>
      <c r="AD66" s="69" t="s">
        <v>100</v>
      </c>
      <c r="AE66" s="76" t="s">
        <v>32</v>
      </c>
      <c r="AF66" s="69" t="s">
        <v>100</v>
      </c>
      <c r="AG66" s="76" t="s">
        <v>32</v>
      </c>
      <c r="AH66" s="69" t="s">
        <v>100</v>
      </c>
      <c r="AI66" s="76" t="s">
        <v>32</v>
      </c>
      <c r="AJ66" s="69" t="s">
        <v>100</v>
      </c>
      <c r="AK66" s="76" t="s">
        <v>32</v>
      </c>
      <c r="AL66" s="69" t="s">
        <v>100</v>
      </c>
      <c r="AM66" s="76" t="s">
        <v>32</v>
      </c>
      <c r="AN66" s="69" t="s">
        <v>100</v>
      </c>
      <c r="AO66" s="77" t="s">
        <v>32</v>
      </c>
    </row>
    <row r="67" spans="2:41" x14ac:dyDescent="0.2">
      <c r="B67" s="10" t="s">
        <v>244</v>
      </c>
      <c r="C67" s="13" t="s">
        <v>31</v>
      </c>
      <c r="D67" s="12" t="s">
        <v>93</v>
      </c>
      <c r="E67" s="71" t="str">
        <f t="shared" si="3"/>
        <v>0x02E0</v>
      </c>
      <c r="F67" s="13" t="s">
        <v>391</v>
      </c>
      <c r="G67" s="13" t="s">
        <v>323</v>
      </c>
      <c r="H67" s="7" t="str">
        <f>Default_mod</f>
        <v>PIN_MODE_0</v>
      </c>
      <c r="I67" s="7" t="str">
        <f>Default_pud</f>
        <v>PIN_PULL_NONE</v>
      </c>
      <c r="J67" s="24" t="str">
        <f>Default_drv</f>
        <v>PIN_DRIVING_12MA</v>
      </c>
      <c r="K67" s="95"/>
      <c r="L67" s="93" t="s">
        <v>78</v>
      </c>
      <c r="M67" s="23" t="s">
        <v>235</v>
      </c>
      <c r="N67" s="7" t="s">
        <v>236</v>
      </c>
      <c r="O67" s="7" t="s">
        <v>429</v>
      </c>
      <c r="P67" s="9" t="s">
        <v>432</v>
      </c>
      <c r="R67" s="20" t="str">
        <f t="shared" si="4"/>
        <v>10</v>
      </c>
      <c r="S67" s="7" t="str">
        <f t="shared" si="5"/>
        <v>00</v>
      </c>
      <c r="T67" s="7" t="str">
        <f t="shared" si="6"/>
        <v>000</v>
      </c>
      <c r="U67" s="9" t="str">
        <f t="shared" si="7"/>
        <v>//0x00400000   Pinmode:DPI_DATAI[1]</v>
      </c>
      <c r="W67" s="1">
        <f t="shared" si="1"/>
        <v>0</v>
      </c>
      <c r="X67" s="1" t="str">
        <f t="shared" si="2"/>
        <v>DPI_DATAI[1]</v>
      </c>
      <c r="Z67" s="88" t="s">
        <v>101</v>
      </c>
      <c r="AA67" s="76" t="s">
        <v>32</v>
      </c>
      <c r="AB67" s="69" t="s">
        <v>101</v>
      </c>
      <c r="AC67" s="76" t="s">
        <v>32</v>
      </c>
      <c r="AD67" s="69" t="s">
        <v>101</v>
      </c>
      <c r="AE67" s="76" t="s">
        <v>32</v>
      </c>
      <c r="AF67" s="69" t="s">
        <v>101</v>
      </c>
      <c r="AG67" s="76" t="s">
        <v>32</v>
      </c>
      <c r="AH67" s="69" t="s">
        <v>101</v>
      </c>
      <c r="AI67" s="76" t="s">
        <v>32</v>
      </c>
      <c r="AJ67" s="69" t="s">
        <v>101</v>
      </c>
      <c r="AK67" s="76" t="s">
        <v>32</v>
      </c>
      <c r="AL67" s="69" t="s">
        <v>101</v>
      </c>
      <c r="AM67" s="76" t="s">
        <v>32</v>
      </c>
      <c r="AN67" s="69" t="s">
        <v>101</v>
      </c>
      <c r="AO67" s="77" t="s">
        <v>32</v>
      </c>
    </row>
    <row r="68" spans="2:41" x14ac:dyDescent="0.2">
      <c r="B68" s="10" t="s">
        <v>245</v>
      </c>
      <c r="C68" s="13" t="s">
        <v>33</v>
      </c>
      <c r="D68" s="12" t="s">
        <v>93</v>
      </c>
      <c r="E68" s="71" t="str">
        <f t="shared" si="3"/>
        <v>0x02E4</v>
      </c>
      <c r="F68" s="13" t="s">
        <v>392</v>
      </c>
      <c r="G68" s="13" t="s">
        <v>323</v>
      </c>
      <c r="H68" s="7" t="str">
        <f>Default_mod</f>
        <v>PIN_MODE_0</v>
      </c>
      <c r="I68" s="7" t="str">
        <f>Default_pud</f>
        <v>PIN_PULL_NONE</v>
      </c>
      <c r="J68" s="24" t="str">
        <f>Default_drv</f>
        <v>PIN_DRIVING_12MA</v>
      </c>
      <c r="K68" s="95"/>
      <c r="L68" s="93" t="s">
        <v>78</v>
      </c>
      <c r="M68" s="23" t="s">
        <v>235</v>
      </c>
      <c r="N68" s="7" t="s">
        <v>236</v>
      </c>
      <c r="O68" s="7" t="s">
        <v>429</v>
      </c>
      <c r="P68" s="9" t="s">
        <v>432</v>
      </c>
      <c r="R68" s="20" t="str">
        <f t="shared" si="4"/>
        <v>10</v>
      </c>
      <c r="S68" s="7" t="str">
        <f t="shared" si="5"/>
        <v>00</v>
      </c>
      <c r="T68" s="7" t="str">
        <f t="shared" si="6"/>
        <v>000</v>
      </c>
      <c r="U68" s="9" t="str">
        <f t="shared" si="7"/>
        <v>//0x00400000   Pinmode:DPI_DATAI[2]</v>
      </c>
      <c r="W68" s="1">
        <f t="shared" si="1"/>
        <v>0</v>
      </c>
      <c r="X68" s="1" t="str">
        <f t="shared" si="2"/>
        <v>DPI_DATAI[2]</v>
      </c>
      <c r="Z68" s="88" t="s">
        <v>102</v>
      </c>
      <c r="AA68" s="76" t="s">
        <v>32</v>
      </c>
      <c r="AB68" s="69" t="s">
        <v>102</v>
      </c>
      <c r="AC68" s="76" t="s">
        <v>32</v>
      </c>
      <c r="AD68" s="69" t="s">
        <v>102</v>
      </c>
      <c r="AE68" s="76" t="s">
        <v>32</v>
      </c>
      <c r="AF68" s="69" t="s">
        <v>102</v>
      </c>
      <c r="AG68" s="76" t="s">
        <v>32</v>
      </c>
      <c r="AH68" s="69" t="s">
        <v>102</v>
      </c>
      <c r="AI68" s="76" t="s">
        <v>32</v>
      </c>
      <c r="AJ68" s="69" t="s">
        <v>102</v>
      </c>
      <c r="AK68" s="76" t="s">
        <v>32</v>
      </c>
      <c r="AL68" s="69" t="s">
        <v>102</v>
      </c>
      <c r="AM68" s="76" t="s">
        <v>32</v>
      </c>
      <c r="AN68" s="69" t="s">
        <v>102</v>
      </c>
      <c r="AO68" s="77" t="s">
        <v>32</v>
      </c>
    </row>
    <row r="69" spans="2:41" x14ac:dyDescent="0.2">
      <c r="B69" s="10" t="s">
        <v>246</v>
      </c>
      <c r="C69" s="13" t="s">
        <v>34</v>
      </c>
      <c r="D69" s="12" t="s">
        <v>93</v>
      </c>
      <c r="E69" s="71" t="str">
        <f t="shared" si="3"/>
        <v>0x02E8</v>
      </c>
      <c r="F69" s="13" t="s">
        <v>393</v>
      </c>
      <c r="G69" s="13" t="s">
        <v>323</v>
      </c>
      <c r="H69" s="7" t="str">
        <f>Default_mod</f>
        <v>PIN_MODE_0</v>
      </c>
      <c r="I69" s="7" t="str">
        <f>Default_pud</f>
        <v>PIN_PULL_NONE</v>
      </c>
      <c r="J69" s="24" t="str">
        <f>Default_drv</f>
        <v>PIN_DRIVING_12MA</v>
      </c>
      <c r="K69" s="95"/>
      <c r="L69" s="93" t="s">
        <v>78</v>
      </c>
      <c r="M69" s="23" t="s">
        <v>235</v>
      </c>
      <c r="N69" s="7" t="s">
        <v>236</v>
      </c>
      <c r="O69" s="7" t="s">
        <v>429</v>
      </c>
      <c r="P69" s="9" t="s">
        <v>432</v>
      </c>
      <c r="R69" s="20" t="str">
        <f t="shared" si="4"/>
        <v>10</v>
      </c>
      <c r="S69" s="7" t="str">
        <f t="shared" si="5"/>
        <v>00</v>
      </c>
      <c r="T69" s="7" t="str">
        <f t="shared" si="6"/>
        <v>000</v>
      </c>
      <c r="U69" s="9" t="str">
        <f t="shared" si="7"/>
        <v>//0x00400000   Pinmode:DPI_DATAI[3]</v>
      </c>
      <c r="W69" s="1">
        <f t="shared" si="1"/>
        <v>0</v>
      </c>
      <c r="X69" s="1" t="str">
        <f t="shared" si="2"/>
        <v>DPI_DATAI[3]</v>
      </c>
      <c r="Z69" s="88" t="s">
        <v>103</v>
      </c>
      <c r="AA69" s="76" t="s">
        <v>32</v>
      </c>
      <c r="AB69" s="69" t="s">
        <v>103</v>
      </c>
      <c r="AC69" s="76" t="s">
        <v>32</v>
      </c>
      <c r="AD69" s="69" t="s">
        <v>103</v>
      </c>
      <c r="AE69" s="76" t="s">
        <v>32</v>
      </c>
      <c r="AF69" s="69" t="s">
        <v>103</v>
      </c>
      <c r="AG69" s="76" t="s">
        <v>32</v>
      </c>
      <c r="AH69" s="69" t="s">
        <v>103</v>
      </c>
      <c r="AI69" s="76" t="s">
        <v>32</v>
      </c>
      <c r="AJ69" s="69" t="s">
        <v>103</v>
      </c>
      <c r="AK69" s="76" t="s">
        <v>32</v>
      </c>
      <c r="AL69" s="69" t="s">
        <v>103</v>
      </c>
      <c r="AM69" s="76" t="s">
        <v>32</v>
      </c>
      <c r="AN69" s="69" t="s">
        <v>103</v>
      </c>
      <c r="AO69" s="77" t="s">
        <v>32</v>
      </c>
    </row>
    <row r="70" spans="2:41" x14ac:dyDescent="0.2">
      <c r="B70" s="10" t="s">
        <v>247</v>
      </c>
      <c r="C70" s="13" t="s">
        <v>35</v>
      </c>
      <c r="D70" s="12" t="s">
        <v>93</v>
      </c>
      <c r="E70" s="71" t="str">
        <f t="shared" si="3"/>
        <v>0x02EC</v>
      </c>
      <c r="F70" s="13" t="s">
        <v>394</v>
      </c>
      <c r="G70" s="13" t="s">
        <v>323</v>
      </c>
      <c r="H70" s="7" t="str">
        <f>Default_mod</f>
        <v>PIN_MODE_0</v>
      </c>
      <c r="I70" s="7" t="str">
        <f>Default_pud</f>
        <v>PIN_PULL_NONE</v>
      </c>
      <c r="J70" s="24" t="str">
        <f>Default_drv</f>
        <v>PIN_DRIVING_12MA</v>
      </c>
      <c r="K70" s="95"/>
      <c r="L70" s="93" t="s">
        <v>78</v>
      </c>
      <c r="M70" s="23" t="s">
        <v>235</v>
      </c>
      <c r="N70" s="7" t="s">
        <v>236</v>
      </c>
      <c r="O70" s="7" t="s">
        <v>429</v>
      </c>
      <c r="P70" s="9" t="s">
        <v>432</v>
      </c>
      <c r="R70" s="20" t="str">
        <f t="shared" ref="R70:R102" si="8">IF(J70 = $J$109, "11", IF(J70 = $J$108, "10", IF(J70 = $J$107, "01", IF(J70 = $J$106, "00", ""))))</f>
        <v>10</v>
      </c>
      <c r="S70" s="7" t="str">
        <f t="shared" ref="S70:S102" si="9">IF(I70=$I$108,"10",IF(I70=$I$107,"01","00"))</f>
        <v>00</v>
      </c>
      <c r="T70" s="7" t="str">
        <f t="shared" ref="T70:T102" si="10">IF(H70=$H$106,"000",IF(H70=$H$107,"001",IF(H70=$H$108,"010",IF(H70=$H$109,"011",IF(H70=$H$110,"100",IF(H70=$H$111,"101",IF(H70=$H$112,"110",IF(H70=$H$113,"111",""))))))))</f>
        <v>000</v>
      </c>
      <c r="U70" s="9" t="str">
        <f t="shared" ref="U70:U101" si="11">"//0x"&amp;DEC2HEX(BIN2DEC(R70)*2^21+BIN2DEC(S70)*2^16+BIN2DEC(T70),8)&amp;"   Pinmode:"&amp;Pinmode</f>
        <v>//0x00400000   Pinmode:DPI_DATAI[4]</v>
      </c>
      <c r="W70" s="1">
        <f t="shared" si="1"/>
        <v>0</v>
      </c>
      <c r="X70" s="1" t="str">
        <f t="shared" si="2"/>
        <v>DPI_DATAI[4]</v>
      </c>
      <c r="Z70" s="88" t="s">
        <v>104</v>
      </c>
      <c r="AA70" s="76" t="s">
        <v>32</v>
      </c>
      <c r="AB70" s="69" t="s">
        <v>104</v>
      </c>
      <c r="AC70" s="76" t="s">
        <v>32</v>
      </c>
      <c r="AD70" s="69" t="s">
        <v>104</v>
      </c>
      <c r="AE70" s="76" t="s">
        <v>32</v>
      </c>
      <c r="AF70" s="69" t="s">
        <v>104</v>
      </c>
      <c r="AG70" s="76" t="s">
        <v>32</v>
      </c>
      <c r="AH70" s="69" t="s">
        <v>104</v>
      </c>
      <c r="AI70" s="76" t="s">
        <v>32</v>
      </c>
      <c r="AJ70" s="69" t="s">
        <v>104</v>
      </c>
      <c r="AK70" s="76" t="s">
        <v>32</v>
      </c>
      <c r="AL70" s="69" t="s">
        <v>104</v>
      </c>
      <c r="AM70" s="76" t="s">
        <v>32</v>
      </c>
      <c r="AN70" s="69" t="s">
        <v>104</v>
      </c>
      <c r="AO70" s="77" t="s">
        <v>32</v>
      </c>
    </row>
    <row r="71" spans="2:41" x14ac:dyDescent="0.2">
      <c r="B71" s="10" t="s">
        <v>248</v>
      </c>
      <c r="C71" s="13" t="s">
        <v>36</v>
      </c>
      <c r="D71" s="12" t="s">
        <v>93</v>
      </c>
      <c r="E71" s="71" t="str">
        <f t="shared" si="3"/>
        <v>0x02F0</v>
      </c>
      <c r="F71" s="13" t="s">
        <v>395</v>
      </c>
      <c r="G71" s="13" t="s">
        <v>323</v>
      </c>
      <c r="H71" s="7" t="str">
        <f>Default_mod</f>
        <v>PIN_MODE_0</v>
      </c>
      <c r="I71" s="7" t="str">
        <f>Default_pud</f>
        <v>PIN_PULL_NONE</v>
      </c>
      <c r="J71" s="24" t="str">
        <f>Default_drv</f>
        <v>PIN_DRIVING_12MA</v>
      </c>
      <c r="K71" s="95"/>
      <c r="L71" s="93" t="s">
        <v>78</v>
      </c>
      <c r="M71" s="23" t="s">
        <v>235</v>
      </c>
      <c r="N71" s="7" t="s">
        <v>236</v>
      </c>
      <c r="O71" s="7" t="s">
        <v>429</v>
      </c>
      <c r="P71" s="9" t="s">
        <v>432</v>
      </c>
      <c r="R71" s="20" t="str">
        <f t="shared" si="8"/>
        <v>10</v>
      </c>
      <c r="S71" s="7" t="str">
        <f t="shared" si="9"/>
        <v>00</v>
      </c>
      <c r="T71" s="7" t="str">
        <f t="shared" si="10"/>
        <v>000</v>
      </c>
      <c r="U71" s="9" t="str">
        <f t="shared" si="11"/>
        <v>//0x00400000   Pinmode:DPI_DATAI[5]</v>
      </c>
      <c r="W71" s="1">
        <f t="shared" ref="W71:W102" si="12">BIN2DEC(T71)</f>
        <v>0</v>
      </c>
      <c r="X71" s="1" t="str">
        <f t="shared" ref="X71:X102" si="13">INDEX(Z71:AO71, 1,1+W71*2)</f>
        <v>DPI_DATAI[5]</v>
      </c>
      <c r="Z71" s="88" t="s">
        <v>105</v>
      </c>
      <c r="AA71" s="76" t="s">
        <v>32</v>
      </c>
      <c r="AB71" s="69" t="s">
        <v>105</v>
      </c>
      <c r="AC71" s="76" t="s">
        <v>32</v>
      </c>
      <c r="AD71" s="69" t="s">
        <v>105</v>
      </c>
      <c r="AE71" s="76" t="s">
        <v>32</v>
      </c>
      <c r="AF71" s="69" t="s">
        <v>105</v>
      </c>
      <c r="AG71" s="76" t="s">
        <v>32</v>
      </c>
      <c r="AH71" s="69" t="s">
        <v>105</v>
      </c>
      <c r="AI71" s="76" t="s">
        <v>32</v>
      </c>
      <c r="AJ71" s="69" t="s">
        <v>105</v>
      </c>
      <c r="AK71" s="76" t="s">
        <v>32</v>
      </c>
      <c r="AL71" s="69" t="s">
        <v>105</v>
      </c>
      <c r="AM71" s="76" t="s">
        <v>32</v>
      </c>
      <c r="AN71" s="69" t="s">
        <v>105</v>
      </c>
      <c r="AO71" s="77" t="s">
        <v>32</v>
      </c>
    </row>
    <row r="72" spans="2:41" x14ac:dyDescent="0.2">
      <c r="B72" s="10" t="s">
        <v>249</v>
      </c>
      <c r="C72" s="13" t="s">
        <v>38</v>
      </c>
      <c r="D72" s="12" t="s">
        <v>93</v>
      </c>
      <c r="E72" s="71" t="str">
        <f t="shared" ref="E72:E97" si="14">"0x0"&amp;DEC2HEX(4+HEX2DEC(RIGHT(E71, 4)))</f>
        <v>0x02F4</v>
      </c>
      <c r="F72" s="13" t="s">
        <v>396</v>
      </c>
      <c r="G72" s="13" t="s">
        <v>323</v>
      </c>
      <c r="H72" s="7" t="str">
        <f>Default_mod</f>
        <v>PIN_MODE_0</v>
      </c>
      <c r="I72" s="7" t="str">
        <f>Default_pud</f>
        <v>PIN_PULL_NONE</v>
      </c>
      <c r="J72" s="24" t="str">
        <f>Default_drv</f>
        <v>PIN_DRIVING_12MA</v>
      </c>
      <c r="K72" s="95"/>
      <c r="L72" s="93" t="s">
        <v>78</v>
      </c>
      <c r="M72" s="23" t="s">
        <v>235</v>
      </c>
      <c r="N72" s="7" t="s">
        <v>236</v>
      </c>
      <c r="O72" s="7" t="s">
        <v>429</v>
      </c>
      <c r="P72" s="9" t="s">
        <v>432</v>
      </c>
      <c r="R72" s="20" t="str">
        <f t="shared" si="8"/>
        <v>10</v>
      </c>
      <c r="S72" s="7" t="str">
        <f t="shared" si="9"/>
        <v>00</v>
      </c>
      <c r="T72" s="7" t="str">
        <f t="shared" si="10"/>
        <v>000</v>
      </c>
      <c r="U72" s="9" t="str">
        <f t="shared" si="11"/>
        <v>//0x00400000   Pinmode:DPI_DATAI[6]</v>
      </c>
      <c r="W72" s="1">
        <f t="shared" si="12"/>
        <v>0</v>
      </c>
      <c r="X72" s="1" t="str">
        <f t="shared" si="13"/>
        <v>DPI_DATAI[6]</v>
      </c>
      <c r="Z72" s="88" t="s">
        <v>106</v>
      </c>
      <c r="AA72" s="76" t="s">
        <v>32</v>
      </c>
      <c r="AB72" s="69" t="s">
        <v>106</v>
      </c>
      <c r="AC72" s="76" t="s">
        <v>32</v>
      </c>
      <c r="AD72" s="69" t="s">
        <v>106</v>
      </c>
      <c r="AE72" s="76" t="s">
        <v>32</v>
      </c>
      <c r="AF72" s="69" t="s">
        <v>106</v>
      </c>
      <c r="AG72" s="76" t="s">
        <v>32</v>
      </c>
      <c r="AH72" s="69" t="s">
        <v>106</v>
      </c>
      <c r="AI72" s="76" t="s">
        <v>32</v>
      </c>
      <c r="AJ72" s="69" t="s">
        <v>106</v>
      </c>
      <c r="AK72" s="76" t="s">
        <v>32</v>
      </c>
      <c r="AL72" s="69" t="s">
        <v>106</v>
      </c>
      <c r="AM72" s="76" t="s">
        <v>32</v>
      </c>
      <c r="AN72" s="69" t="s">
        <v>106</v>
      </c>
      <c r="AO72" s="77" t="s">
        <v>32</v>
      </c>
    </row>
    <row r="73" spans="2:41" x14ac:dyDescent="0.2">
      <c r="B73" s="10" t="s">
        <v>250</v>
      </c>
      <c r="C73" s="13" t="s">
        <v>39</v>
      </c>
      <c r="D73" s="12" t="s">
        <v>93</v>
      </c>
      <c r="E73" s="71" t="str">
        <f t="shared" si="14"/>
        <v>0x02F8</v>
      </c>
      <c r="F73" s="13" t="s">
        <v>397</v>
      </c>
      <c r="G73" s="13" t="s">
        <v>323</v>
      </c>
      <c r="H73" s="7" t="str">
        <f>Default_mod</f>
        <v>PIN_MODE_0</v>
      </c>
      <c r="I73" s="7" t="str">
        <f>Default_pud</f>
        <v>PIN_PULL_NONE</v>
      </c>
      <c r="J73" s="24" t="str">
        <f>Default_drv</f>
        <v>PIN_DRIVING_12MA</v>
      </c>
      <c r="K73" s="95"/>
      <c r="L73" s="93" t="s">
        <v>78</v>
      </c>
      <c r="M73" s="23" t="s">
        <v>235</v>
      </c>
      <c r="N73" s="7" t="s">
        <v>236</v>
      </c>
      <c r="O73" s="7" t="s">
        <v>429</v>
      </c>
      <c r="P73" s="9" t="s">
        <v>432</v>
      </c>
      <c r="R73" s="20" t="str">
        <f t="shared" si="8"/>
        <v>10</v>
      </c>
      <c r="S73" s="7" t="str">
        <f t="shared" si="9"/>
        <v>00</v>
      </c>
      <c r="T73" s="7" t="str">
        <f t="shared" si="10"/>
        <v>000</v>
      </c>
      <c r="U73" s="9" t="str">
        <f t="shared" si="11"/>
        <v>//0x00400000   Pinmode:DPI_DATAI[7]</v>
      </c>
      <c r="W73" s="1">
        <f t="shared" si="12"/>
        <v>0</v>
      </c>
      <c r="X73" s="1" t="str">
        <f t="shared" si="13"/>
        <v>DPI_DATAI[7]</v>
      </c>
      <c r="Z73" s="88" t="s">
        <v>107</v>
      </c>
      <c r="AA73" s="76" t="s">
        <v>32</v>
      </c>
      <c r="AB73" s="69" t="s">
        <v>107</v>
      </c>
      <c r="AC73" s="76" t="s">
        <v>32</v>
      </c>
      <c r="AD73" s="69" t="s">
        <v>107</v>
      </c>
      <c r="AE73" s="76" t="s">
        <v>32</v>
      </c>
      <c r="AF73" s="69" t="s">
        <v>107</v>
      </c>
      <c r="AG73" s="76" t="s">
        <v>32</v>
      </c>
      <c r="AH73" s="69" t="s">
        <v>107</v>
      </c>
      <c r="AI73" s="76" t="s">
        <v>32</v>
      </c>
      <c r="AJ73" s="69" t="s">
        <v>107</v>
      </c>
      <c r="AK73" s="76" t="s">
        <v>32</v>
      </c>
      <c r="AL73" s="69" t="s">
        <v>107</v>
      </c>
      <c r="AM73" s="76" t="s">
        <v>32</v>
      </c>
      <c r="AN73" s="69" t="s">
        <v>107</v>
      </c>
      <c r="AO73" s="77" t="s">
        <v>32</v>
      </c>
    </row>
    <row r="74" spans="2:41" x14ac:dyDescent="0.2">
      <c r="B74" s="10" t="s">
        <v>251</v>
      </c>
      <c r="C74" s="13" t="s">
        <v>40</v>
      </c>
      <c r="D74" s="12" t="s">
        <v>93</v>
      </c>
      <c r="E74" s="71" t="str">
        <f t="shared" si="14"/>
        <v>0x02FC</v>
      </c>
      <c r="F74" s="13" t="s">
        <v>398</v>
      </c>
      <c r="G74" s="13" t="s">
        <v>323</v>
      </c>
      <c r="H74" s="7" t="str">
        <f>Default_mod</f>
        <v>PIN_MODE_0</v>
      </c>
      <c r="I74" s="7" t="str">
        <f>Default_pud</f>
        <v>PIN_PULL_NONE</v>
      </c>
      <c r="J74" s="24" t="str">
        <f>Default_drv</f>
        <v>PIN_DRIVING_12MA</v>
      </c>
      <c r="K74" s="95"/>
      <c r="L74" s="93" t="s">
        <v>78</v>
      </c>
      <c r="M74" s="23" t="s">
        <v>235</v>
      </c>
      <c r="N74" s="7" t="s">
        <v>236</v>
      </c>
      <c r="O74" s="7" t="s">
        <v>429</v>
      </c>
      <c r="P74" s="9" t="s">
        <v>432</v>
      </c>
      <c r="R74" s="20" t="str">
        <f t="shared" si="8"/>
        <v>10</v>
      </c>
      <c r="S74" s="7" t="str">
        <f t="shared" si="9"/>
        <v>00</v>
      </c>
      <c r="T74" s="7" t="str">
        <f t="shared" si="10"/>
        <v>000</v>
      </c>
      <c r="U74" s="9" t="str">
        <f t="shared" si="11"/>
        <v>//0x00400000   Pinmode:DPI_DATAI[8]</v>
      </c>
      <c r="W74" s="1">
        <f t="shared" si="12"/>
        <v>0</v>
      </c>
      <c r="X74" s="1" t="str">
        <f t="shared" si="13"/>
        <v>DPI_DATAI[8]</v>
      </c>
      <c r="Z74" s="88" t="s">
        <v>108</v>
      </c>
      <c r="AA74" s="76" t="s">
        <v>32</v>
      </c>
      <c r="AB74" s="69" t="s">
        <v>108</v>
      </c>
      <c r="AC74" s="76" t="s">
        <v>32</v>
      </c>
      <c r="AD74" s="69" t="s">
        <v>108</v>
      </c>
      <c r="AE74" s="76" t="s">
        <v>32</v>
      </c>
      <c r="AF74" s="69" t="s">
        <v>108</v>
      </c>
      <c r="AG74" s="76" t="s">
        <v>32</v>
      </c>
      <c r="AH74" s="69" t="s">
        <v>108</v>
      </c>
      <c r="AI74" s="76" t="s">
        <v>32</v>
      </c>
      <c r="AJ74" s="69" t="s">
        <v>108</v>
      </c>
      <c r="AK74" s="76" t="s">
        <v>32</v>
      </c>
      <c r="AL74" s="69" t="s">
        <v>108</v>
      </c>
      <c r="AM74" s="76" t="s">
        <v>32</v>
      </c>
      <c r="AN74" s="69" t="s">
        <v>108</v>
      </c>
      <c r="AO74" s="77" t="s">
        <v>32</v>
      </c>
    </row>
    <row r="75" spans="2:41" x14ac:dyDescent="0.2">
      <c r="B75" s="10" t="s">
        <v>252</v>
      </c>
      <c r="C75" s="13" t="s">
        <v>41</v>
      </c>
      <c r="D75" s="12" t="s">
        <v>93</v>
      </c>
      <c r="E75" s="71" t="str">
        <f t="shared" si="14"/>
        <v>0x0300</v>
      </c>
      <c r="F75" s="13" t="s">
        <v>399</v>
      </c>
      <c r="G75" s="13" t="s">
        <v>323</v>
      </c>
      <c r="H75" s="7" t="str">
        <f>Default_mod</f>
        <v>PIN_MODE_0</v>
      </c>
      <c r="I75" s="7" t="str">
        <f>Default_pud</f>
        <v>PIN_PULL_NONE</v>
      </c>
      <c r="J75" s="24" t="str">
        <f>Default_drv</f>
        <v>PIN_DRIVING_12MA</v>
      </c>
      <c r="K75" s="95"/>
      <c r="L75" s="93" t="s">
        <v>78</v>
      </c>
      <c r="M75" s="23" t="s">
        <v>235</v>
      </c>
      <c r="N75" s="7" t="s">
        <v>236</v>
      </c>
      <c r="O75" s="7" t="s">
        <v>429</v>
      </c>
      <c r="P75" s="9" t="s">
        <v>432</v>
      </c>
      <c r="R75" s="20" t="str">
        <f t="shared" si="8"/>
        <v>10</v>
      </c>
      <c r="S75" s="7" t="str">
        <f t="shared" si="9"/>
        <v>00</v>
      </c>
      <c r="T75" s="7" t="str">
        <f t="shared" si="10"/>
        <v>000</v>
      </c>
      <c r="U75" s="9" t="str">
        <f t="shared" si="11"/>
        <v>//0x00400000   Pinmode:DPI_DATAI[9]</v>
      </c>
      <c r="W75" s="1">
        <f t="shared" si="12"/>
        <v>0</v>
      </c>
      <c r="X75" s="1" t="str">
        <f t="shared" si="13"/>
        <v>DPI_DATAI[9]</v>
      </c>
      <c r="Z75" s="88" t="s">
        <v>109</v>
      </c>
      <c r="AA75" s="76" t="s">
        <v>32</v>
      </c>
      <c r="AB75" s="69" t="s">
        <v>109</v>
      </c>
      <c r="AC75" s="76" t="s">
        <v>32</v>
      </c>
      <c r="AD75" s="69" t="s">
        <v>109</v>
      </c>
      <c r="AE75" s="76" t="s">
        <v>32</v>
      </c>
      <c r="AF75" s="69" t="s">
        <v>109</v>
      </c>
      <c r="AG75" s="76" t="s">
        <v>32</v>
      </c>
      <c r="AH75" s="69" t="s">
        <v>109</v>
      </c>
      <c r="AI75" s="76" t="s">
        <v>32</v>
      </c>
      <c r="AJ75" s="69" t="s">
        <v>109</v>
      </c>
      <c r="AK75" s="76" t="s">
        <v>32</v>
      </c>
      <c r="AL75" s="69" t="s">
        <v>109</v>
      </c>
      <c r="AM75" s="76" t="s">
        <v>32</v>
      </c>
      <c r="AN75" s="69" t="s">
        <v>109</v>
      </c>
      <c r="AO75" s="77" t="s">
        <v>32</v>
      </c>
    </row>
    <row r="76" spans="2:41" x14ac:dyDescent="0.2">
      <c r="B76" s="10" t="s">
        <v>253</v>
      </c>
      <c r="C76" s="13" t="s">
        <v>42</v>
      </c>
      <c r="D76" s="12" t="s">
        <v>93</v>
      </c>
      <c r="E76" s="71" t="str">
        <f t="shared" si="14"/>
        <v>0x0304</v>
      </c>
      <c r="F76" s="13" t="s">
        <v>80</v>
      </c>
      <c r="G76" s="13" t="s">
        <v>323</v>
      </c>
      <c r="H76" s="7" t="str">
        <f>Default_mod</f>
        <v>PIN_MODE_0</v>
      </c>
      <c r="I76" s="7" t="str">
        <f>Default_pud</f>
        <v>PIN_PULL_NONE</v>
      </c>
      <c r="J76" s="24" t="str">
        <f>Default_drv</f>
        <v>PIN_DRIVING_12MA</v>
      </c>
      <c r="K76" s="95"/>
      <c r="L76" s="93" t="s">
        <v>78</v>
      </c>
      <c r="M76" s="23" t="s">
        <v>235</v>
      </c>
      <c r="N76" s="7" t="s">
        <v>236</v>
      </c>
      <c r="O76" s="7" t="s">
        <v>429</v>
      </c>
      <c r="P76" s="9" t="s">
        <v>432</v>
      </c>
      <c r="R76" s="20" t="str">
        <f t="shared" si="8"/>
        <v>10</v>
      </c>
      <c r="S76" s="7" t="str">
        <f t="shared" si="9"/>
        <v>00</v>
      </c>
      <c r="T76" s="7" t="str">
        <f t="shared" si="10"/>
        <v>000</v>
      </c>
      <c r="U76" s="9" t="str">
        <f t="shared" si="11"/>
        <v>//0x00400000   Pinmode:DPI_DATAI[10]</v>
      </c>
      <c r="W76" s="1">
        <f t="shared" si="12"/>
        <v>0</v>
      </c>
      <c r="X76" s="1" t="str">
        <f t="shared" si="13"/>
        <v>DPI_DATAI[10]</v>
      </c>
      <c r="Z76" s="88" t="s">
        <v>110</v>
      </c>
      <c r="AA76" s="76" t="s">
        <v>32</v>
      </c>
      <c r="AB76" s="69" t="s">
        <v>110</v>
      </c>
      <c r="AC76" s="76" t="s">
        <v>32</v>
      </c>
      <c r="AD76" s="69" t="s">
        <v>110</v>
      </c>
      <c r="AE76" s="76" t="s">
        <v>32</v>
      </c>
      <c r="AF76" s="69" t="s">
        <v>110</v>
      </c>
      <c r="AG76" s="76" t="s">
        <v>32</v>
      </c>
      <c r="AH76" s="69" t="s">
        <v>110</v>
      </c>
      <c r="AI76" s="76" t="s">
        <v>32</v>
      </c>
      <c r="AJ76" s="69" t="s">
        <v>110</v>
      </c>
      <c r="AK76" s="76" t="s">
        <v>32</v>
      </c>
      <c r="AL76" s="69" t="s">
        <v>110</v>
      </c>
      <c r="AM76" s="76" t="s">
        <v>32</v>
      </c>
      <c r="AN76" s="69" t="s">
        <v>110</v>
      </c>
      <c r="AO76" s="77" t="s">
        <v>32</v>
      </c>
    </row>
    <row r="77" spans="2:41" x14ac:dyDescent="0.2">
      <c r="B77" s="10" t="s">
        <v>254</v>
      </c>
      <c r="C77" s="13" t="s">
        <v>43</v>
      </c>
      <c r="D77" s="12" t="s">
        <v>93</v>
      </c>
      <c r="E77" s="71" t="str">
        <f t="shared" si="14"/>
        <v>0x0308</v>
      </c>
      <c r="F77" s="13" t="s">
        <v>81</v>
      </c>
      <c r="G77" s="13" t="s">
        <v>323</v>
      </c>
      <c r="H77" s="7" t="str">
        <f>Default_mod</f>
        <v>PIN_MODE_0</v>
      </c>
      <c r="I77" s="7" t="str">
        <f>Default_pud</f>
        <v>PIN_PULL_NONE</v>
      </c>
      <c r="J77" s="24" t="str">
        <f>Default_drv</f>
        <v>PIN_DRIVING_12MA</v>
      </c>
      <c r="K77" s="95"/>
      <c r="L77" s="93" t="s">
        <v>78</v>
      </c>
      <c r="M77" s="23" t="s">
        <v>235</v>
      </c>
      <c r="N77" s="7" t="s">
        <v>236</v>
      </c>
      <c r="O77" s="7" t="s">
        <v>429</v>
      </c>
      <c r="P77" s="9" t="s">
        <v>432</v>
      </c>
      <c r="R77" s="20" t="str">
        <f t="shared" si="8"/>
        <v>10</v>
      </c>
      <c r="S77" s="7" t="str">
        <f t="shared" si="9"/>
        <v>00</v>
      </c>
      <c r="T77" s="7" t="str">
        <f t="shared" si="10"/>
        <v>000</v>
      </c>
      <c r="U77" s="9" t="str">
        <f t="shared" si="11"/>
        <v>//0x00400000   Pinmode:DPI_DATAI[11]</v>
      </c>
      <c r="W77" s="1">
        <f t="shared" si="12"/>
        <v>0</v>
      </c>
      <c r="X77" s="1" t="str">
        <f t="shared" si="13"/>
        <v>DPI_DATAI[11]</v>
      </c>
      <c r="Z77" s="88" t="s">
        <v>111</v>
      </c>
      <c r="AA77" s="76" t="s">
        <v>32</v>
      </c>
      <c r="AB77" s="69" t="s">
        <v>111</v>
      </c>
      <c r="AC77" s="76" t="s">
        <v>32</v>
      </c>
      <c r="AD77" s="69" t="s">
        <v>111</v>
      </c>
      <c r="AE77" s="76" t="s">
        <v>32</v>
      </c>
      <c r="AF77" s="69" t="s">
        <v>111</v>
      </c>
      <c r="AG77" s="76" t="s">
        <v>32</v>
      </c>
      <c r="AH77" s="69" t="s">
        <v>111</v>
      </c>
      <c r="AI77" s="76" t="s">
        <v>32</v>
      </c>
      <c r="AJ77" s="69" t="s">
        <v>111</v>
      </c>
      <c r="AK77" s="76" t="s">
        <v>32</v>
      </c>
      <c r="AL77" s="69" t="s">
        <v>111</v>
      </c>
      <c r="AM77" s="76" t="s">
        <v>32</v>
      </c>
      <c r="AN77" s="69" t="s">
        <v>111</v>
      </c>
      <c r="AO77" s="77" t="s">
        <v>32</v>
      </c>
    </row>
    <row r="78" spans="2:41" x14ac:dyDescent="0.2">
      <c r="B78" s="10" t="s">
        <v>255</v>
      </c>
      <c r="C78" s="13" t="s">
        <v>44</v>
      </c>
      <c r="D78" s="12" t="s">
        <v>93</v>
      </c>
      <c r="E78" s="71" t="str">
        <f t="shared" si="14"/>
        <v>0x030C</v>
      </c>
      <c r="F78" s="13" t="s">
        <v>82</v>
      </c>
      <c r="G78" s="13" t="s">
        <v>323</v>
      </c>
      <c r="H78" s="7" t="str">
        <f>Default_mod</f>
        <v>PIN_MODE_0</v>
      </c>
      <c r="I78" s="7" t="str">
        <f>Default_pud</f>
        <v>PIN_PULL_NONE</v>
      </c>
      <c r="J78" s="24" t="str">
        <f>Default_drv</f>
        <v>PIN_DRIVING_12MA</v>
      </c>
      <c r="K78" s="95"/>
      <c r="L78" s="93" t="s">
        <v>78</v>
      </c>
      <c r="M78" s="23" t="s">
        <v>235</v>
      </c>
      <c r="N78" s="7" t="s">
        <v>236</v>
      </c>
      <c r="O78" s="7" t="s">
        <v>429</v>
      </c>
      <c r="P78" s="9" t="s">
        <v>432</v>
      </c>
      <c r="R78" s="20" t="str">
        <f t="shared" si="8"/>
        <v>10</v>
      </c>
      <c r="S78" s="7" t="str">
        <f t="shared" si="9"/>
        <v>00</v>
      </c>
      <c r="T78" s="7" t="str">
        <f t="shared" si="10"/>
        <v>000</v>
      </c>
      <c r="U78" s="9" t="str">
        <f t="shared" si="11"/>
        <v>//0x00400000   Pinmode:DPI_DATAI[12]</v>
      </c>
      <c r="W78" s="1">
        <f t="shared" si="12"/>
        <v>0</v>
      </c>
      <c r="X78" s="1" t="str">
        <f t="shared" si="13"/>
        <v>DPI_DATAI[12]</v>
      </c>
      <c r="Z78" s="88" t="s">
        <v>112</v>
      </c>
      <c r="AA78" s="76" t="s">
        <v>32</v>
      </c>
      <c r="AB78" s="69" t="s">
        <v>112</v>
      </c>
      <c r="AC78" s="76" t="s">
        <v>32</v>
      </c>
      <c r="AD78" s="69" t="s">
        <v>112</v>
      </c>
      <c r="AE78" s="76" t="s">
        <v>32</v>
      </c>
      <c r="AF78" s="69" t="s">
        <v>112</v>
      </c>
      <c r="AG78" s="76" t="s">
        <v>32</v>
      </c>
      <c r="AH78" s="69" t="s">
        <v>112</v>
      </c>
      <c r="AI78" s="76" t="s">
        <v>32</v>
      </c>
      <c r="AJ78" s="69" t="s">
        <v>112</v>
      </c>
      <c r="AK78" s="76" t="s">
        <v>32</v>
      </c>
      <c r="AL78" s="69" t="s">
        <v>112</v>
      </c>
      <c r="AM78" s="76" t="s">
        <v>32</v>
      </c>
      <c r="AN78" s="69" t="s">
        <v>112</v>
      </c>
      <c r="AO78" s="77" t="s">
        <v>32</v>
      </c>
    </row>
    <row r="79" spans="2:41" x14ac:dyDescent="0.2">
      <c r="B79" s="10" t="s">
        <v>256</v>
      </c>
      <c r="C79" s="13" t="s">
        <v>45</v>
      </c>
      <c r="D79" s="12" t="s">
        <v>93</v>
      </c>
      <c r="E79" s="71" t="str">
        <f t="shared" si="14"/>
        <v>0x0310</v>
      </c>
      <c r="F79" s="13" t="s">
        <v>83</v>
      </c>
      <c r="G79" s="13" t="s">
        <v>323</v>
      </c>
      <c r="H79" s="7" t="str">
        <f>Default_mod</f>
        <v>PIN_MODE_0</v>
      </c>
      <c r="I79" s="7" t="str">
        <f>Default_pud</f>
        <v>PIN_PULL_NONE</v>
      </c>
      <c r="J79" s="24" t="str">
        <f>Default_drv</f>
        <v>PIN_DRIVING_12MA</v>
      </c>
      <c r="K79" s="95"/>
      <c r="L79" s="93" t="s">
        <v>78</v>
      </c>
      <c r="M79" s="23" t="s">
        <v>235</v>
      </c>
      <c r="N79" s="7" t="s">
        <v>236</v>
      </c>
      <c r="O79" s="7" t="s">
        <v>429</v>
      </c>
      <c r="P79" s="9" t="s">
        <v>432</v>
      </c>
      <c r="R79" s="20" t="str">
        <f t="shared" si="8"/>
        <v>10</v>
      </c>
      <c r="S79" s="7" t="str">
        <f t="shared" si="9"/>
        <v>00</v>
      </c>
      <c r="T79" s="7" t="str">
        <f t="shared" si="10"/>
        <v>000</v>
      </c>
      <c r="U79" s="9" t="str">
        <f t="shared" si="11"/>
        <v>//0x00400000   Pinmode:DPI_DATAI[13]</v>
      </c>
      <c r="W79" s="1">
        <f t="shared" si="12"/>
        <v>0</v>
      </c>
      <c r="X79" s="1" t="str">
        <f t="shared" si="13"/>
        <v>DPI_DATAI[13]</v>
      </c>
      <c r="Z79" s="88" t="s">
        <v>113</v>
      </c>
      <c r="AA79" s="76" t="s">
        <v>32</v>
      </c>
      <c r="AB79" s="69" t="s">
        <v>113</v>
      </c>
      <c r="AC79" s="76" t="s">
        <v>32</v>
      </c>
      <c r="AD79" s="69" t="s">
        <v>113</v>
      </c>
      <c r="AE79" s="76" t="s">
        <v>32</v>
      </c>
      <c r="AF79" s="69" t="s">
        <v>113</v>
      </c>
      <c r="AG79" s="76" t="s">
        <v>32</v>
      </c>
      <c r="AH79" s="69" t="s">
        <v>113</v>
      </c>
      <c r="AI79" s="76" t="s">
        <v>32</v>
      </c>
      <c r="AJ79" s="69" t="s">
        <v>113</v>
      </c>
      <c r="AK79" s="76" t="s">
        <v>32</v>
      </c>
      <c r="AL79" s="69" t="s">
        <v>113</v>
      </c>
      <c r="AM79" s="76" t="s">
        <v>32</v>
      </c>
      <c r="AN79" s="69" t="s">
        <v>113</v>
      </c>
      <c r="AO79" s="77" t="s">
        <v>32</v>
      </c>
    </row>
    <row r="80" spans="2:41" x14ac:dyDescent="0.2">
      <c r="B80" s="10" t="s">
        <v>257</v>
      </c>
      <c r="C80" s="13" t="s">
        <v>46</v>
      </c>
      <c r="D80" s="12" t="s">
        <v>93</v>
      </c>
      <c r="E80" s="71" t="str">
        <f t="shared" si="14"/>
        <v>0x0314</v>
      </c>
      <c r="F80" s="13" t="s">
        <v>84</v>
      </c>
      <c r="G80" s="13" t="s">
        <v>323</v>
      </c>
      <c r="H80" s="7" t="str">
        <f>Default_mod</f>
        <v>PIN_MODE_0</v>
      </c>
      <c r="I80" s="7" t="str">
        <f>Default_pud</f>
        <v>PIN_PULL_NONE</v>
      </c>
      <c r="J80" s="24" t="str">
        <f>Default_drv</f>
        <v>PIN_DRIVING_12MA</v>
      </c>
      <c r="K80" s="95"/>
      <c r="L80" s="93" t="s">
        <v>78</v>
      </c>
      <c r="M80" s="23" t="s">
        <v>235</v>
      </c>
      <c r="N80" s="7" t="s">
        <v>236</v>
      </c>
      <c r="O80" s="7" t="s">
        <v>429</v>
      </c>
      <c r="P80" s="9" t="s">
        <v>432</v>
      </c>
      <c r="R80" s="20" t="str">
        <f t="shared" si="8"/>
        <v>10</v>
      </c>
      <c r="S80" s="7" t="str">
        <f t="shared" si="9"/>
        <v>00</v>
      </c>
      <c r="T80" s="7" t="str">
        <f t="shared" si="10"/>
        <v>000</v>
      </c>
      <c r="U80" s="9" t="str">
        <f t="shared" si="11"/>
        <v>//0x00400000   Pinmode:DPI_DATAI[14]</v>
      </c>
      <c r="W80" s="1">
        <f t="shared" si="12"/>
        <v>0</v>
      </c>
      <c r="X80" s="1" t="str">
        <f t="shared" si="13"/>
        <v>DPI_DATAI[14]</v>
      </c>
      <c r="Z80" s="88" t="s">
        <v>114</v>
      </c>
      <c r="AA80" s="76" t="s">
        <v>32</v>
      </c>
      <c r="AB80" s="69" t="s">
        <v>114</v>
      </c>
      <c r="AC80" s="76" t="s">
        <v>32</v>
      </c>
      <c r="AD80" s="69" t="s">
        <v>114</v>
      </c>
      <c r="AE80" s="76" t="s">
        <v>32</v>
      </c>
      <c r="AF80" s="69" t="s">
        <v>114</v>
      </c>
      <c r="AG80" s="76" t="s">
        <v>32</v>
      </c>
      <c r="AH80" s="69" t="s">
        <v>114</v>
      </c>
      <c r="AI80" s="76" t="s">
        <v>32</v>
      </c>
      <c r="AJ80" s="69" t="s">
        <v>114</v>
      </c>
      <c r="AK80" s="76" t="s">
        <v>32</v>
      </c>
      <c r="AL80" s="69" t="s">
        <v>114</v>
      </c>
      <c r="AM80" s="76" t="s">
        <v>32</v>
      </c>
      <c r="AN80" s="69" t="s">
        <v>114</v>
      </c>
      <c r="AO80" s="77" t="s">
        <v>32</v>
      </c>
    </row>
    <row r="81" spans="2:41" x14ac:dyDescent="0.2">
      <c r="B81" s="10" t="s">
        <v>258</v>
      </c>
      <c r="C81" s="13" t="s">
        <v>47</v>
      </c>
      <c r="D81" s="12" t="s">
        <v>93</v>
      </c>
      <c r="E81" s="71" t="str">
        <f t="shared" si="14"/>
        <v>0x0318</v>
      </c>
      <c r="F81" s="13" t="s">
        <v>85</v>
      </c>
      <c r="G81" s="13" t="s">
        <v>323</v>
      </c>
      <c r="H81" s="7" t="str">
        <f>Default_mod</f>
        <v>PIN_MODE_0</v>
      </c>
      <c r="I81" s="7" t="str">
        <f>Default_pud</f>
        <v>PIN_PULL_NONE</v>
      </c>
      <c r="J81" s="24" t="str">
        <f>Default_drv</f>
        <v>PIN_DRIVING_12MA</v>
      </c>
      <c r="K81" s="95"/>
      <c r="L81" s="93" t="s">
        <v>78</v>
      </c>
      <c r="M81" s="23" t="s">
        <v>235</v>
      </c>
      <c r="N81" s="7" t="s">
        <v>236</v>
      </c>
      <c r="O81" s="7" t="s">
        <v>429</v>
      </c>
      <c r="P81" s="9" t="s">
        <v>432</v>
      </c>
      <c r="R81" s="20" t="str">
        <f t="shared" si="8"/>
        <v>10</v>
      </c>
      <c r="S81" s="7" t="str">
        <f t="shared" si="9"/>
        <v>00</v>
      </c>
      <c r="T81" s="7" t="str">
        <f t="shared" si="10"/>
        <v>000</v>
      </c>
      <c r="U81" s="9" t="str">
        <f t="shared" si="11"/>
        <v>//0x00400000   Pinmode:DPI_DATAI[15]</v>
      </c>
      <c r="W81" s="1">
        <f t="shared" si="12"/>
        <v>0</v>
      </c>
      <c r="X81" s="1" t="str">
        <f t="shared" si="13"/>
        <v>DPI_DATAI[15]</v>
      </c>
      <c r="Z81" s="88" t="s">
        <v>115</v>
      </c>
      <c r="AA81" s="76" t="s">
        <v>32</v>
      </c>
      <c r="AB81" s="69" t="s">
        <v>115</v>
      </c>
      <c r="AC81" s="76" t="s">
        <v>32</v>
      </c>
      <c r="AD81" s="69" t="s">
        <v>115</v>
      </c>
      <c r="AE81" s="76" t="s">
        <v>32</v>
      </c>
      <c r="AF81" s="69" t="s">
        <v>115</v>
      </c>
      <c r="AG81" s="76" t="s">
        <v>32</v>
      </c>
      <c r="AH81" s="69" t="s">
        <v>115</v>
      </c>
      <c r="AI81" s="76" t="s">
        <v>32</v>
      </c>
      <c r="AJ81" s="69" t="s">
        <v>115</v>
      </c>
      <c r="AK81" s="76" t="s">
        <v>32</v>
      </c>
      <c r="AL81" s="69" t="s">
        <v>115</v>
      </c>
      <c r="AM81" s="76" t="s">
        <v>32</v>
      </c>
      <c r="AN81" s="69" t="s">
        <v>115</v>
      </c>
      <c r="AO81" s="77" t="s">
        <v>32</v>
      </c>
    </row>
    <row r="82" spans="2:41" x14ac:dyDescent="0.2">
      <c r="B82" s="10" t="s">
        <v>278</v>
      </c>
      <c r="C82" s="13" t="s">
        <v>48</v>
      </c>
      <c r="D82" s="12" t="s">
        <v>93</v>
      </c>
      <c r="E82" s="71" t="str">
        <f t="shared" si="14"/>
        <v>0x031C</v>
      </c>
      <c r="F82" s="13" t="s">
        <v>400</v>
      </c>
      <c r="G82" s="13" t="s">
        <v>321</v>
      </c>
      <c r="H82" s="7" t="s">
        <v>18</v>
      </c>
      <c r="I82" s="7" t="s">
        <v>14</v>
      </c>
      <c r="J82" s="24" t="s">
        <v>15</v>
      </c>
      <c r="K82" s="95"/>
      <c r="L82" s="93" t="s">
        <v>78</v>
      </c>
      <c r="M82" s="23" t="s">
        <v>235</v>
      </c>
      <c r="N82" s="7" t="s">
        <v>236</v>
      </c>
      <c r="O82" s="7" t="s">
        <v>429</v>
      </c>
      <c r="P82" s="9" t="s">
        <v>432</v>
      </c>
      <c r="R82" s="20" t="str">
        <f t="shared" si="8"/>
        <v>10</v>
      </c>
      <c r="S82" s="7" t="str">
        <f t="shared" si="9"/>
        <v>00</v>
      </c>
      <c r="T82" s="7" t="str">
        <f t="shared" si="10"/>
        <v>000</v>
      </c>
      <c r="U82" s="9" t="str">
        <f t="shared" si="11"/>
        <v>//0x00400000   Pinmode:DPI_PCLKO</v>
      </c>
      <c r="W82" s="1">
        <f t="shared" si="12"/>
        <v>0</v>
      </c>
      <c r="X82" s="1" t="str">
        <f t="shared" si="13"/>
        <v>DPI_PCLKO</v>
      </c>
      <c r="Z82" s="89" t="s">
        <v>168</v>
      </c>
      <c r="AA82" s="76" t="s">
        <v>37</v>
      </c>
      <c r="AB82" s="64" t="s">
        <v>168</v>
      </c>
      <c r="AC82" s="76" t="s">
        <v>37</v>
      </c>
      <c r="AD82" s="64" t="s">
        <v>168</v>
      </c>
      <c r="AE82" s="76" t="s">
        <v>37</v>
      </c>
      <c r="AF82" s="64" t="s">
        <v>168</v>
      </c>
      <c r="AG82" s="76" t="s">
        <v>37</v>
      </c>
      <c r="AH82" s="64" t="s">
        <v>168</v>
      </c>
      <c r="AI82" s="76" t="s">
        <v>37</v>
      </c>
      <c r="AJ82" s="64" t="s">
        <v>168</v>
      </c>
      <c r="AK82" s="76" t="s">
        <v>37</v>
      </c>
      <c r="AL82" s="64" t="s">
        <v>168</v>
      </c>
      <c r="AM82" s="76" t="s">
        <v>37</v>
      </c>
      <c r="AN82" s="64" t="s">
        <v>168</v>
      </c>
      <c r="AO82" s="77" t="s">
        <v>37</v>
      </c>
    </row>
    <row r="83" spans="2:41" x14ac:dyDescent="0.2">
      <c r="B83" s="10" t="s">
        <v>279</v>
      </c>
      <c r="C83" s="13" t="s">
        <v>28</v>
      </c>
      <c r="D83" s="12" t="s">
        <v>93</v>
      </c>
      <c r="E83" s="71" t="str">
        <f t="shared" si="14"/>
        <v>0x0320</v>
      </c>
      <c r="F83" s="13" t="s">
        <v>401</v>
      </c>
      <c r="G83" s="13" t="s">
        <v>321</v>
      </c>
      <c r="H83" s="7" t="s">
        <v>18</v>
      </c>
      <c r="I83" s="7" t="s">
        <v>14</v>
      </c>
      <c r="J83" s="24" t="s">
        <v>15</v>
      </c>
      <c r="K83" s="95"/>
      <c r="L83" s="93" t="s">
        <v>78</v>
      </c>
      <c r="M83" s="23" t="s">
        <v>235</v>
      </c>
      <c r="N83" s="7" t="s">
        <v>236</v>
      </c>
      <c r="O83" s="7" t="s">
        <v>429</v>
      </c>
      <c r="P83" s="9" t="s">
        <v>432</v>
      </c>
      <c r="R83" s="20" t="str">
        <f t="shared" si="8"/>
        <v>10</v>
      </c>
      <c r="S83" s="7" t="str">
        <f t="shared" si="9"/>
        <v>00</v>
      </c>
      <c r="T83" s="7" t="str">
        <f t="shared" si="10"/>
        <v>000</v>
      </c>
      <c r="U83" s="9" t="str">
        <f t="shared" si="11"/>
        <v>//0x00400000   Pinmode:DPI_VSO</v>
      </c>
      <c r="W83" s="1">
        <f t="shared" si="12"/>
        <v>0</v>
      </c>
      <c r="X83" s="1" t="str">
        <f t="shared" si="13"/>
        <v>DPI_VSO</v>
      </c>
      <c r="Z83" s="89" t="s">
        <v>169</v>
      </c>
      <c r="AA83" s="76" t="s">
        <v>37</v>
      </c>
      <c r="AB83" s="64" t="s">
        <v>169</v>
      </c>
      <c r="AC83" s="76" t="s">
        <v>37</v>
      </c>
      <c r="AD83" s="64" t="s">
        <v>169</v>
      </c>
      <c r="AE83" s="76" t="s">
        <v>37</v>
      </c>
      <c r="AF83" s="64" t="s">
        <v>169</v>
      </c>
      <c r="AG83" s="76" t="s">
        <v>37</v>
      </c>
      <c r="AH83" s="64" t="s">
        <v>169</v>
      </c>
      <c r="AI83" s="76" t="s">
        <v>37</v>
      </c>
      <c r="AJ83" s="64" t="s">
        <v>169</v>
      </c>
      <c r="AK83" s="76" t="s">
        <v>37</v>
      </c>
      <c r="AL83" s="64" t="s">
        <v>169</v>
      </c>
      <c r="AM83" s="76" t="s">
        <v>37</v>
      </c>
      <c r="AN83" s="64" t="s">
        <v>169</v>
      </c>
      <c r="AO83" s="77" t="s">
        <v>37</v>
      </c>
    </row>
    <row r="84" spans="2:41" x14ac:dyDescent="0.2">
      <c r="B84" s="10" t="s">
        <v>280</v>
      </c>
      <c r="C84" s="13" t="s">
        <v>30</v>
      </c>
      <c r="D84" s="12" t="s">
        <v>93</v>
      </c>
      <c r="E84" s="71" t="str">
        <f t="shared" si="14"/>
        <v>0x0324</v>
      </c>
      <c r="F84" s="13" t="s">
        <v>402</v>
      </c>
      <c r="G84" s="13" t="s">
        <v>321</v>
      </c>
      <c r="H84" s="7" t="s">
        <v>18</v>
      </c>
      <c r="I84" s="7" t="s">
        <v>14</v>
      </c>
      <c r="J84" s="24" t="s">
        <v>15</v>
      </c>
      <c r="K84" s="95"/>
      <c r="L84" s="93" t="s">
        <v>78</v>
      </c>
      <c r="M84" s="23" t="s">
        <v>235</v>
      </c>
      <c r="N84" s="7" t="s">
        <v>236</v>
      </c>
      <c r="O84" s="7" t="s">
        <v>429</v>
      </c>
      <c r="P84" s="9" t="s">
        <v>432</v>
      </c>
      <c r="R84" s="20" t="str">
        <f t="shared" si="8"/>
        <v>10</v>
      </c>
      <c r="S84" s="7" t="str">
        <f t="shared" si="9"/>
        <v>00</v>
      </c>
      <c r="T84" s="7" t="str">
        <f t="shared" si="10"/>
        <v>000</v>
      </c>
      <c r="U84" s="9" t="str">
        <f t="shared" si="11"/>
        <v>//0x00400000   Pinmode:DPI_HSO</v>
      </c>
      <c r="W84" s="1">
        <f t="shared" si="12"/>
        <v>0</v>
      </c>
      <c r="X84" s="1" t="str">
        <f t="shared" si="13"/>
        <v>DPI_HSO</v>
      </c>
      <c r="Z84" s="89" t="s">
        <v>170</v>
      </c>
      <c r="AA84" s="76" t="s">
        <v>37</v>
      </c>
      <c r="AB84" s="64" t="s">
        <v>170</v>
      </c>
      <c r="AC84" s="76" t="s">
        <v>37</v>
      </c>
      <c r="AD84" s="64" t="s">
        <v>170</v>
      </c>
      <c r="AE84" s="76" t="s">
        <v>37</v>
      </c>
      <c r="AF84" s="64" t="s">
        <v>170</v>
      </c>
      <c r="AG84" s="76" t="s">
        <v>37</v>
      </c>
      <c r="AH84" s="64" t="s">
        <v>170</v>
      </c>
      <c r="AI84" s="76" t="s">
        <v>37</v>
      </c>
      <c r="AJ84" s="64" t="s">
        <v>170</v>
      </c>
      <c r="AK84" s="76" t="s">
        <v>37</v>
      </c>
      <c r="AL84" s="64" t="s">
        <v>170</v>
      </c>
      <c r="AM84" s="76" t="s">
        <v>37</v>
      </c>
      <c r="AN84" s="64" t="s">
        <v>170</v>
      </c>
      <c r="AO84" s="77" t="s">
        <v>37</v>
      </c>
    </row>
    <row r="85" spans="2:41" x14ac:dyDescent="0.2">
      <c r="B85" s="10" t="s">
        <v>281</v>
      </c>
      <c r="C85" s="13" t="s">
        <v>31</v>
      </c>
      <c r="D85" s="12" t="s">
        <v>93</v>
      </c>
      <c r="E85" s="71" t="str">
        <f t="shared" si="14"/>
        <v>0x0328</v>
      </c>
      <c r="F85" s="13" t="s">
        <v>403</v>
      </c>
      <c r="G85" s="13" t="s">
        <v>321</v>
      </c>
      <c r="H85" s="7" t="s">
        <v>18</v>
      </c>
      <c r="I85" s="7" t="s">
        <v>14</v>
      </c>
      <c r="J85" s="24" t="s">
        <v>15</v>
      </c>
      <c r="K85" s="95"/>
      <c r="L85" s="93" t="s">
        <v>78</v>
      </c>
      <c r="M85" s="23" t="s">
        <v>235</v>
      </c>
      <c r="N85" s="7" t="s">
        <v>236</v>
      </c>
      <c r="O85" s="7" t="s">
        <v>429</v>
      </c>
      <c r="P85" s="9" t="s">
        <v>432</v>
      </c>
      <c r="R85" s="20" t="str">
        <f t="shared" si="8"/>
        <v>10</v>
      </c>
      <c r="S85" s="7" t="str">
        <f t="shared" si="9"/>
        <v>00</v>
      </c>
      <c r="T85" s="7" t="str">
        <f t="shared" si="10"/>
        <v>000</v>
      </c>
      <c r="U85" s="9" t="str">
        <f t="shared" si="11"/>
        <v>//0x00400000   Pinmode:DPI_DEO</v>
      </c>
      <c r="W85" s="1">
        <f t="shared" si="12"/>
        <v>0</v>
      </c>
      <c r="X85" s="1" t="str">
        <f t="shared" si="13"/>
        <v>DPI_DEO</v>
      </c>
      <c r="Z85" s="89" t="s">
        <v>171</v>
      </c>
      <c r="AA85" s="76" t="s">
        <v>37</v>
      </c>
      <c r="AB85" s="64" t="s">
        <v>171</v>
      </c>
      <c r="AC85" s="76" t="s">
        <v>37</v>
      </c>
      <c r="AD85" s="64" t="s">
        <v>171</v>
      </c>
      <c r="AE85" s="76" t="s">
        <v>37</v>
      </c>
      <c r="AF85" s="64" t="s">
        <v>171</v>
      </c>
      <c r="AG85" s="76" t="s">
        <v>37</v>
      </c>
      <c r="AH85" s="64" t="s">
        <v>171</v>
      </c>
      <c r="AI85" s="76" t="s">
        <v>37</v>
      </c>
      <c r="AJ85" s="64" t="s">
        <v>171</v>
      </c>
      <c r="AK85" s="76" t="s">
        <v>37</v>
      </c>
      <c r="AL85" s="64" t="s">
        <v>171</v>
      </c>
      <c r="AM85" s="76" t="s">
        <v>37</v>
      </c>
      <c r="AN85" s="64" t="s">
        <v>171</v>
      </c>
      <c r="AO85" s="77" t="s">
        <v>37</v>
      </c>
    </row>
    <row r="86" spans="2:41" x14ac:dyDescent="0.2">
      <c r="B86" s="10" t="s">
        <v>282</v>
      </c>
      <c r="C86" s="13" t="s">
        <v>33</v>
      </c>
      <c r="D86" s="12" t="s">
        <v>93</v>
      </c>
      <c r="E86" s="71" t="str">
        <f t="shared" si="14"/>
        <v>0x032C</v>
      </c>
      <c r="F86" s="13" t="s">
        <v>404</v>
      </c>
      <c r="G86" s="13" t="s">
        <v>321</v>
      </c>
      <c r="H86" s="7" t="s">
        <v>51</v>
      </c>
      <c r="I86" s="7" t="s">
        <v>14</v>
      </c>
      <c r="J86" s="24" t="s">
        <v>15</v>
      </c>
      <c r="K86" s="95"/>
      <c r="L86" s="93" t="s">
        <v>78</v>
      </c>
      <c r="M86" s="23" t="s">
        <v>235</v>
      </c>
      <c r="N86" s="7" t="s">
        <v>236</v>
      </c>
      <c r="O86" s="7" t="s">
        <v>429</v>
      </c>
      <c r="P86" s="9" t="s">
        <v>432</v>
      </c>
      <c r="R86" s="20" t="str">
        <f t="shared" si="8"/>
        <v>10</v>
      </c>
      <c r="S86" s="7" t="str">
        <f t="shared" si="9"/>
        <v>00</v>
      </c>
      <c r="T86" s="7" t="str">
        <f t="shared" si="10"/>
        <v>001</v>
      </c>
      <c r="U86" s="9" t="str">
        <f t="shared" si="11"/>
        <v>//0x00400001   Pinmode:DSP_JTAG_TRST_N</v>
      </c>
      <c r="W86" s="1">
        <f t="shared" si="12"/>
        <v>1</v>
      </c>
      <c r="X86" s="1" t="str">
        <f t="shared" si="13"/>
        <v>DSP_JTAG_TRST_N</v>
      </c>
      <c r="Z86" s="89" t="s">
        <v>172</v>
      </c>
      <c r="AA86" s="76" t="s">
        <v>37</v>
      </c>
      <c r="AB86" s="70" t="s">
        <v>173</v>
      </c>
      <c r="AC86" s="76" t="s">
        <v>32</v>
      </c>
      <c r="AD86" s="64" t="s">
        <v>172</v>
      </c>
      <c r="AE86" s="76" t="s">
        <v>37</v>
      </c>
      <c r="AF86" s="64" t="s">
        <v>172</v>
      </c>
      <c r="AG86" s="76" t="s">
        <v>37</v>
      </c>
      <c r="AH86" s="64" t="s">
        <v>172</v>
      </c>
      <c r="AI86" s="76" t="s">
        <v>37</v>
      </c>
      <c r="AJ86" s="64" t="s">
        <v>172</v>
      </c>
      <c r="AK86" s="76" t="s">
        <v>37</v>
      </c>
      <c r="AL86" s="64" t="s">
        <v>172</v>
      </c>
      <c r="AM86" s="76" t="s">
        <v>37</v>
      </c>
      <c r="AN86" s="64" t="s">
        <v>172</v>
      </c>
      <c r="AO86" s="77" t="s">
        <v>37</v>
      </c>
    </row>
    <row r="87" spans="2:41" x14ac:dyDescent="0.2">
      <c r="B87" s="10" t="s">
        <v>283</v>
      </c>
      <c r="C87" s="13" t="s">
        <v>34</v>
      </c>
      <c r="D87" s="12" t="s">
        <v>93</v>
      </c>
      <c r="E87" s="71" t="str">
        <f t="shared" si="14"/>
        <v>0x0330</v>
      </c>
      <c r="F87" s="13" t="s">
        <v>405</v>
      </c>
      <c r="G87" s="13" t="s">
        <v>321</v>
      </c>
      <c r="H87" s="7" t="s">
        <v>51</v>
      </c>
      <c r="I87" s="7" t="s">
        <v>14</v>
      </c>
      <c r="J87" s="24" t="s">
        <v>15</v>
      </c>
      <c r="K87" s="95"/>
      <c r="L87" s="93" t="s">
        <v>78</v>
      </c>
      <c r="M87" s="23" t="s">
        <v>235</v>
      </c>
      <c r="N87" s="7" t="s">
        <v>236</v>
      </c>
      <c r="O87" s="7" t="s">
        <v>429</v>
      </c>
      <c r="P87" s="9" t="s">
        <v>432</v>
      </c>
      <c r="R87" s="20" t="str">
        <f t="shared" si="8"/>
        <v>10</v>
      </c>
      <c r="S87" s="7" t="str">
        <f t="shared" si="9"/>
        <v>00</v>
      </c>
      <c r="T87" s="7" t="str">
        <f t="shared" si="10"/>
        <v>001</v>
      </c>
      <c r="U87" s="9" t="str">
        <f t="shared" si="11"/>
        <v>//0x00400001   Pinmode:DSP_JTAG_TDI</v>
      </c>
      <c r="W87" s="1">
        <f t="shared" si="12"/>
        <v>1</v>
      </c>
      <c r="X87" s="1" t="str">
        <f t="shared" si="13"/>
        <v>DSP_JTAG_TDI</v>
      </c>
      <c r="Z87" s="89" t="s">
        <v>174</v>
      </c>
      <c r="AA87" s="76" t="s">
        <v>37</v>
      </c>
      <c r="AB87" s="70" t="s">
        <v>175</v>
      </c>
      <c r="AC87" s="76" t="s">
        <v>32</v>
      </c>
      <c r="AD87" s="64" t="s">
        <v>174</v>
      </c>
      <c r="AE87" s="76" t="s">
        <v>37</v>
      </c>
      <c r="AF87" s="64" t="s">
        <v>174</v>
      </c>
      <c r="AG87" s="76" t="s">
        <v>37</v>
      </c>
      <c r="AH87" s="64" t="s">
        <v>174</v>
      </c>
      <c r="AI87" s="76" t="s">
        <v>37</v>
      </c>
      <c r="AJ87" s="64" t="s">
        <v>174</v>
      </c>
      <c r="AK87" s="76" t="s">
        <v>37</v>
      </c>
      <c r="AL87" s="64" t="s">
        <v>174</v>
      </c>
      <c r="AM87" s="76" t="s">
        <v>37</v>
      </c>
      <c r="AN87" s="64" t="s">
        <v>174</v>
      </c>
      <c r="AO87" s="77" t="s">
        <v>37</v>
      </c>
    </row>
    <row r="88" spans="2:41" x14ac:dyDescent="0.2">
      <c r="B88" s="10" t="s">
        <v>284</v>
      </c>
      <c r="C88" s="13" t="s">
        <v>35</v>
      </c>
      <c r="D88" s="12" t="s">
        <v>93</v>
      </c>
      <c r="E88" s="71" t="str">
        <f t="shared" si="14"/>
        <v>0x0334</v>
      </c>
      <c r="F88" s="13" t="s">
        <v>406</v>
      </c>
      <c r="G88" s="13" t="s">
        <v>321</v>
      </c>
      <c r="H88" s="7" t="s">
        <v>51</v>
      </c>
      <c r="I88" s="7" t="s">
        <v>14</v>
      </c>
      <c r="J88" s="24" t="s">
        <v>15</v>
      </c>
      <c r="K88" s="95"/>
      <c r="L88" s="93" t="s">
        <v>78</v>
      </c>
      <c r="M88" s="23" t="s">
        <v>235</v>
      </c>
      <c r="N88" s="7" t="s">
        <v>236</v>
      </c>
      <c r="O88" s="7" t="s">
        <v>429</v>
      </c>
      <c r="P88" s="9" t="s">
        <v>432</v>
      </c>
      <c r="R88" s="20" t="str">
        <f t="shared" si="8"/>
        <v>10</v>
      </c>
      <c r="S88" s="7" t="str">
        <f t="shared" si="9"/>
        <v>00</v>
      </c>
      <c r="T88" s="7" t="str">
        <f t="shared" si="10"/>
        <v>001</v>
      </c>
      <c r="U88" s="9" t="str">
        <f t="shared" si="11"/>
        <v>//0x00400001   Pinmode:DSP_JTAG_TMS</v>
      </c>
      <c r="W88" s="1">
        <f t="shared" si="12"/>
        <v>1</v>
      </c>
      <c r="X88" s="1" t="str">
        <f t="shared" si="13"/>
        <v>DSP_JTAG_TMS</v>
      </c>
      <c r="Z88" s="89" t="s">
        <v>176</v>
      </c>
      <c r="AA88" s="76" t="s">
        <v>37</v>
      </c>
      <c r="AB88" s="70" t="s">
        <v>177</v>
      </c>
      <c r="AC88" s="76" t="s">
        <v>32</v>
      </c>
      <c r="AD88" s="64" t="s">
        <v>176</v>
      </c>
      <c r="AE88" s="76" t="s">
        <v>37</v>
      </c>
      <c r="AF88" s="64" t="s">
        <v>176</v>
      </c>
      <c r="AG88" s="76" t="s">
        <v>37</v>
      </c>
      <c r="AH88" s="64" t="s">
        <v>176</v>
      </c>
      <c r="AI88" s="76" t="s">
        <v>37</v>
      </c>
      <c r="AJ88" s="64" t="s">
        <v>176</v>
      </c>
      <c r="AK88" s="76" t="s">
        <v>37</v>
      </c>
      <c r="AL88" s="64" t="s">
        <v>176</v>
      </c>
      <c r="AM88" s="76" t="s">
        <v>37</v>
      </c>
      <c r="AN88" s="64" t="s">
        <v>176</v>
      </c>
      <c r="AO88" s="77" t="s">
        <v>37</v>
      </c>
    </row>
    <row r="89" spans="2:41" x14ac:dyDescent="0.2">
      <c r="B89" s="10" t="s">
        <v>285</v>
      </c>
      <c r="C89" s="13" t="s">
        <v>36</v>
      </c>
      <c r="D89" s="12" t="s">
        <v>93</v>
      </c>
      <c r="E89" s="71" t="str">
        <f t="shared" si="14"/>
        <v>0x0338</v>
      </c>
      <c r="F89" s="13" t="s">
        <v>407</v>
      </c>
      <c r="G89" s="13" t="s">
        <v>321</v>
      </c>
      <c r="H89" s="7" t="s">
        <v>51</v>
      </c>
      <c r="I89" s="7" t="s">
        <v>14</v>
      </c>
      <c r="J89" s="24" t="s">
        <v>15</v>
      </c>
      <c r="K89" s="95"/>
      <c r="L89" s="93" t="s">
        <v>78</v>
      </c>
      <c r="M89" s="23" t="s">
        <v>235</v>
      </c>
      <c r="N89" s="7" t="s">
        <v>236</v>
      </c>
      <c r="O89" s="7" t="s">
        <v>429</v>
      </c>
      <c r="P89" s="9" t="s">
        <v>432</v>
      </c>
      <c r="R89" s="20" t="str">
        <f t="shared" si="8"/>
        <v>10</v>
      </c>
      <c r="S89" s="7" t="str">
        <f t="shared" si="9"/>
        <v>00</v>
      </c>
      <c r="T89" s="7" t="str">
        <f t="shared" si="10"/>
        <v>001</v>
      </c>
      <c r="U89" s="9" t="str">
        <f t="shared" si="11"/>
        <v>//0x00400001   Pinmode:DSP_JTAG_TCK</v>
      </c>
      <c r="W89" s="1">
        <f t="shared" si="12"/>
        <v>1</v>
      </c>
      <c r="X89" s="1" t="str">
        <f t="shared" si="13"/>
        <v>DSP_JTAG_TCK</v>
      </c>
      <c r="Z89" s="89" t="s">
        <v>178</v>
      </c>
      <c r="AA89" s="76" t="s">
        <v>37</v>
      </c>
      <c r="AB89" s="70" t="s">
        <v>179</v>
      </c>
      <c r="AC89" s="76" t="s">
        <v>32</v>
      </c>
      <c r="AD89" s="64" t="s">
        <v>178</v>
      </c>
      <c r="AE89" s="76" t="s">
        <v>37</v>
      </c>
      <c r="AF89" s="64" t="s">
        <v>178</v>
      </c>
      <c r="AG89" s="76" t="s">
        <v>37</v>
      </c>
      <c r="AH89" s="64" t="s">
        <v>178</v>
      </c>
      <c r="AI89" s="76" t="s">
        <v>37</v>
      </c>
      <c r="AJ89" s="64" t="s">
        <v>178</v>
      </c>
      <c r="AK89" s="76" t="s">
        <v>37</v>
      </c>
      <c r="AL89" s="64" t="s">
        <v>178</v>
      </c>
      <c r="AM89" s="76" t="s">
        <v>37</v>
      </c>
      <c r="AN89" s="64" t="s">
        <v>178</v>
      </c>
      <c r="AO89" s="77" t="s">
        <v>37</v>
      </c>
    </row>
    <row r="90" spans="2:41" x14ac:dyDescent="0.2">
      <c r="B90" s="10" t="s">
        <v>286</v>
      </c>
      <c r="C90" s="13" t="s">
        <v>38</v>
      </c>
      <c r="D90" s="12" t="s">
        <v>93</v>
      </c>
      <c r="E90" s="71" t="str">
        <f t="shared" si="14"/>
        <v>0x033C</v>
      </c>
      <c r="F90" s="13" t="s">
        <v>408</v>
      </c>
      <c r="G90" s="13" t="s">
        <v>321</v>
      </c>
      <c r="H90" s="7" t="s">
        <v>51</v>
      </c>
      <c r="I90" s="7" t="s">
        <v>14</v>
      </c>
      <c r="J90" s="24" t="s">
        <v>15</v>
      </c>
      <c r="K90" s="95"/>
      <c r="L90" s="93" t="s">
        <v>78</v>
      </c>
      <c r="M90" s="23" t="s">
        <v>235</v>
      </c>
      <c r="N90" s="7" t="s">
        <v>236</v>
      </c>
      <c r="O90" s="7" t="s">
        <v>429</v>
      </c>
      <c r="P90" s="9" t="s">
        <v>432</v>
      </c>
      <c r="R90" s="20" t="str">
        <f t="shared" si="8"/>
        <v>10</v>
      </c>
      <c r="S90" s="7" t="str">
        <f t="shared" si="9"/>
        <v>00</v>
      </c>
      <c r="T90" s="7" t="str">
        <f t="shared" si="10"/>
        <v>001</v>
      </c>
      <c r="U90" s="9" t="str">
        <f t="shared" si="11"/>
        <v>//0x00400001   Pinmode:UART1_TX</v>
      </c>
      <c r="W90" s="1">
        <f t="shared" si="12"/>
        <v>1</v>
      </c>
      <c r="X90" s="1" t="str">
        <f t="shared" si="13"/>
        <v>UART1_TX</v>
      </c>
      <c r="Z90" s="89" t="s">
        <v>180</v>
      </c>
      <c r="AA90" s="76" t="s">
        <v>37</v>
      </c>
      <c r="AB90" s="60" t="s">
        <v>130</v>
      </c>
      <c r="AC90" s="76" t="s">
        <v>37</v>
      </c>
      <c r="AD90" s="64" t="s">
        <v>180</v>
      </c>
      <c r="AE90" s="76" t="s">
        <v>37</v>
      </c>
      <c r="AF90" s="64" t="s">
        <v>180</v>
      </c>
      <c r="AG90" s="76" t="s">
        <v>37</v>
      </c>
      <c r="AH90" s="64" t="s">
        <v>180</v>
      </c>
      <c r="AI90" s="76" t="s">
        <v>37</v>
      </c>
      <c r="AJ90" s="64" t="s">
        <v>180</v>
      </c>
      <c r="AK90" s="76" t="s">
        <v>37</v>
      </c>
      <c r="AL90" s="64" t="s">
        <v>180</v>
      </c>
      <c r="AM90" s="76" t="s">
        <v>37</v>
      </c>
      <c r="AN90" s="64" t="s">
        <v>180</v>
      </c>
      <c r="AO90" s="77" t="s">
        <v>37</v>
      </c>
    </row>
    <row r="91" spans="2:41" x14ac:dyDescent="0.2">
      <c r="B91" s="10" t="s">
        <v>287</v>
      </c>
      <c r="C91" s="13" t="s">
        <v>39</v>
      </c>
      <c r="D91" s="12" t="s">
        <v>93</v>
      </c>
      <c r="E91" s="71" t="str">
        <f t="shared" si="14"/>
        <v>0x0340</v>
      </c>
      <c r="F91" s="13" t="s">
        <v>409</v>
      </c>
      <c r="G91" s="13" t="s">
        <v>321</v>
      </c>
      <c r="H91" s="7" t="s">
        <v>51</v>
      </c>
      <c r="I91" s="7" t="s">
        <v>14</v>
      </c>
      <c r="J91" s="24" t="s">
        <v>15</v>
      </c>
      <c r="K91" s="95"/>
      <c r="L91" s="93" t="s">
        <v>78</v>
      </c>
      <c r="M91" s="23" t="s">
        <v>235</v>
      </c>
      <c r="N91" s="7" t="s">
        <v>236</v>
      </c>
      <c r="O91" s="7" t="s">
        <v>429</v>
      </c>
      <c r="P91" s="9" t="s">
        <v>432</v>
      </c>
      <c r="R91" s="20" t="str">
        <f t="shared" si="8"/>
        <v>10</v>
      </c>
      <c r="S91" s="7" t="str">
        <f t="shared" si="9"/>
        <v>00</v>
      </c>
      <c r="T91" s="7" t="str">
        <f t="shared" si="10"/>
        <v>001</v>
      </c>
      <c r="U91" s="9" t="str">
        <f t="shared" si="11"/>
        <v>//0x00400001   Pinmode:UART1_RX</v>
      </c>
      <c r="W91" s="1">
        <f t="shared" si="12"/>
        <v>1</v>
      </c>
      <c r="X91" s="1" t="str">
        <f t="shared" si="13"/>
        <v>UART1_RX</v>
      </c>
      <c r="Z91" s="89" t="s">
        <v>181</v>
      </c>
      <c r="AA91" s="76" t="s">
        <v>37</v>
      </c>
      <c r="AB91" s="60" t="s">
        <v>132</v>
      </c>
      <c r="AC91" s="76" t="s">
        <v>32</v>
      </c>
      <c r="AD91" s="64" t="s">
        <v>181</v>
      </c>
      <c r="AE91" s="76" t="s">
        <v>37</v>
      </c>
      <c r="AF91" s="64" t="s">
        <v>181</v>
      </c>
      <c r="AG91" s="76" t="s">
        <v>37</v>
      </c>
      <c r="AH91" s="64" t="s">
        <v>181</v>
      </c>
      <c r="AI91" s="76" t="s">
        <v>37</v>
      </c>
      <c r="AJ91" s="64" t="s">
        <v>181</v>
      </c>
      <c r="AK91" s="76" t="s">
        <v>37</v>
      </c>
      <c r="AL91" s="64" t="s">
        <v>181</v>
      </c>
      <c r="AM91" s="76" t="s">
        <v>37</v>
      </c>
      <c r="AN91" s="64" t="s">
        <v>181</v>
      </c>
      <c r="AO91" s="77" t="s">
        <v>37</v>
      </c>
    </row>
    <row r="92" spans="2:41" x14ac:dyDescent="0.2">
      <c r="B92" s="10" t="s">
        <v>288</v>
      </c>
      <c r="C92" s="13" t="s">
        <v>40</v>
      </c>
      <c r="D92" s="12" t="s">
        <v>93</v>
      </c>
      <c r="E92" s="71" t="str">
        <f t="shared" si="14"/>
        <v>0x0344</v>
      </c>
      <c r="F92" s="13" t="s">
        <v>410</v>
      </c>
      <c r="G92" s="13" t="s">
        <v>321</v>
      </c>
      <c r="H92" s="7" t="s">
        <v>18</v>
      </c>
      <c r="I92" s="7" t="s">
        <v>14</v>
      </c>
      <c r="J92" s="24" t="s">
        <v>15</v>
      </c>
      <c r="K92" s="95"/>
      <c r="L92" s="93" t="s">
        <v>78</v>
      </c>
      <c r="M92" s="23" t="s">
        <v>235</v>
      </c>
      <c r="N92" s="7" t="s">
        <v>236</v>
      </c>
      <c r="O92" s="7" t="s">
        <v>429</v>
      </c>
      <c r="P92" s="9" t="s">
        <v>432</v>
      </c>
      <c r="R92" s="20" t="str">
        <f t="shared" si="8"/>
        <v>10</v>
      </c>
      <c r="S92" s="7" t="str">
        <f t="shared" si="9"/>
        <v>00</v>
      </c>
      <c r="T92" s="7" t="str">
        <f t="shared" si="10"/>
        <v>000</v>
      </c>
      <c r="U92" s="9" t="str">
        <f t="shared" si="11"/>
        <v>//0x00400000   Pinmode:DPI_DATAO[6]</v>
      </c>
      <c r="W92" s="1">
        <f t="shared" si="12"/>
        <v>0</v>
      </c>
      <c r="X92" s="1" t="str">
        <f t="shared" si="13"/>
        <v>DPI_DATAO[6]</v>
      </c>
      <c r="Z92" s="89" t="s">
        <v>182</v>
      </c>
      <c r="AA92" s="76" t="s">
        <v>37</v>
      </c>
      <c r="AB92" s="64" t="s">
        <v>182</v>
      </c>
      <c r="AC92" s="76" t="s">
        <v>37</v>
      </c>
      <c r="AD92" s="64" t="s">
        <v>182</v>
      </c>
      <c r="AE92" s="76" t="s">
        <v>37</v>
      </c>
      <c r="AF92" s="64" t="s">
        <v>182</v>
      </c>
      <c r="AG92" s="76" t="s">
        <v>37</v>
      </c>
      <c r="AH92" s="64" t="s">
        <v>182</v>
      </c>
      <c r="AI92" s="76" t="s">
        <v>37</v>
      </c>
      <c r="AJ92" s="64" t="s">
        <v>182</v>
      </c>
      <c r="AK92" s="76" t="s">
        <v>37</v>
      </c>
      <c r="AL92" s="64" t="s">
        <v>182</v>
      </c>
      <c r="AM92" s="76" t="s">
        <v>37</v>
      </c>
      <c r="AN92" s="64" t="s">
        <v>182</v>
      </c>
      <c r="AO92" s="77" t="s">
        <v>37</v>
      </c>
    </row>
    <row r="93" spans="2:41" x14ac:dyDescent="0.2">
      <c r="B93" s="10" t="s">
        <v>289</v>
      </c>
      <c r="C93" s="13" t="s">
        <v>41</v>
      </c>
      <c r="D93" s="12" t="s">
        <v>93</v>
      </c>
      <c r="E93" s="71" t="str">
        <f t="shared" si="14"/>
        <v>0x0348</v>
      </c>
      <c r="F93" s="13" t="s">
        <v>411</v>
      </c>
      <c r="G93" s="13" t="s">
        <v>321</v>
      </c>
      <c r="H93" s="7" t="s">
        <v>18</v>
      </c>
      <c r="I93" s="7" t="s">
        <v>14</v>
      </c>
      <c r="J93" s="24" t="s">
        <v>15</v>
      </c>
      <c r="K93" s="95"/>
      <c r="L93" s="93" t="s">
        <v>78</v>
      </c>
      <c r="M93" s="23" t="s">
        <v>235</v>
      </c>
      <c r="N93" s="7" t="s">
        <v>236</v>
      </c>
      <c r="O93" s="7" t="s">
        <v>429</v>
      </c>
      <c r="P93" s="9" t="s">
        <v>432</v>
      </c>
      <c r="R93" s="20" t="str">
        <f t="shared" si="8"/>
        <v>10</v>
      </c>
      <c r="S93" s="7" t="str">
        <f t="shared" si="9"/>
        <v>00</v>
      </c>
      <c r="T93" s="7" t="str">
        <f t="shared" si="10"/>
        <v>000</v>
      </c>
      <c r="U93" s="9" t="str">
        <f t="shared" si="11"/>
        <v>//0x00400000   Pinmode:DPI_DATAO[7]</v>
      </c>
      <c r="W93" s="1">
        <f t="shared" si="12"/>
        <v>0</v>
      </c>
      <c r="X93" s="1" t="str">
        <f t="shared" si="13"/>
        <v>DPI_DATAO[7]</v>
      </c>
      <c r="Z93" s="89" t="s">
        <v>183</v>
      </c>
      <c r="AA93" s="76" t="s">
        <v>37</v>
      </c>
      <c r="AB93" s="64" t="s">
        <v>183</v>
      </c>
      <c r="AC93" s="76" t="s">
        <v>37</v>
      </c>
      <c r="AD93" s="64" t="s">
        <v>183</v>
      </c>
      <c r="AE93" s="76" t="s">
        <v>37</v>
      </c>
      <c r="AF93" s="64" t="s">
        <v>183</v>
      </c>
      <c r="AG93" s="76" t="s">
        <v>37</v>
      </c>
      <c r="AH93" s="64" t="s">
        <v>183</v>
      </c>
      <c r="AI93" s="76" t="s">
        <v>37</v>
      </c>
      <c r="AJ93" s="64" t="s">
        <v>183</v>
      </c>
      <c r="AK93" s="76" t="s">
        <v>37</v>
      </c>
      <c r="AL93" s="64" t="s">
        <v>183</v>
      </c>
      <c r="AM93" s="76" t="s">
        <v>37</v>
      </c>
      <c r="AN93" s="64" t="s">
        <v>183</v>
      </c>
      <c r="AO93" s="77" t="s">
        <v>37</v>
      </c>
    </row>
    <row r="94" spans="2:41" x14ac:dyDescent="0.2">
      <c r="B94" s="10" t="s">
        <v>290</v>
      </c>
      <c r="C94" s="13" t="s">
        <v>42</v>
      </c>
      <c r="D94" s="12" t="s">
        <v>93</v>
      </c>
      <c r="E94" s="71" t="str">
        <f t="shared" si="14"/>
        <v>0x034C</v>
      </c>
      <c r="F94" s="13" t="s">
        <v>412</v>
      </c>
      <c r="G94" s="13" t="s">
        <v>321</v>
      </c>
      <c r="H94" s="7" t="s">
        <v>18</v>
      </c>
      <c r="I94" s="7" t="s">
        <v>14</v>
      </c>
      <c r="J94" s="24" t="s">
        <v>15</v>
      </c>
      <c r="K94" s="95"/>
      <c r="L94" s="93" t="s">
        <v>78</v>
      </c>
      <c r="M94" s="23" t="s">
        <v>235</v>
      </c>
      <c r="N94" s="7" t="s">
        <v>236</v>
      </c>
      <c r="O94" s="7" t="s">
        <v>429</v>
      </c>
      <c r="P94" s="9" t="s">
        <v>432</v>
      </c>
      <c r="R94" s="20" t="str">
        <f t="shared" si="8"/>
        <v>10</v>
      </c>
      <c r="S94" s="7" t="str">
        <f t="shared" si="9"/>
        <v>00</v>
      </c>
      <c r="T94" s="7" t="str">
        <f t="shared" si="10"/>
        <v>000</v>
      </c>
      <c r="U94" s="9" t="str">
        <f t="shared" si="11"/>
        <v>//0x00400000   Pinmode:DPI_DATAO[8]</v>
      </c>
      <c r="W94" s="1">
        <f t="shared" si="12"/>
        <v>0</v>
      </c>
      <c r="X94" s="1" t="str">
        <f t="shared" si="13"/>
        <v>DPI_DATAO[8]</v>
      </c>
      <c r="Z94" s="89" t="s">
        <v>184</v>
      </c>
      <c r="AA94" s="76" t="s">
        <v>37</v>
      </c>
      <c r="AB94" s="64" t="s">
        <v>184</v>
      </c>
      <c r="AC94" s="76" t="s">
        <v>37</v>
      </c>
      <c r="AD94" s="64" t="s">
        <v>184</v>
      </c>
      <c r="AE94" s="76" t="s">
        <v>37</v>
      </c>
      <c r="AF94" s="64" t="s">
        <v>184</v>
      </c>
      <c r="AG94" s="76" t="s">
        <v>37</v>
      </c>
      <c r="AH94" s="64" t="s">
        <v>184</v>
      </c>
      <c r="AI94" s="76" t="s">
        <v>37</v>
      </c>
      <c r="AJ94" s="64" t="s">
        <v>184</v>
      </c>
      <c r="AK94" s="76" t="s">
        <v>37</v>
      </c>
      <c r="AL94" s="58" t="s">
        <v>185</v>
      </c>
      <c r="AM94" s="76" t="s">
        <v>37</v>
      </c>
      <c r="AN94" s="59" t="s">
        <v>467</v>
      </c>
      <c r="AO94" s="77" t="s">
        <v>120</v>
      </c>
    </row>
    <row r="95" spans="2:41" x14ac:dyDescent="0.2">
      <c r="B95" s="10" t="s">
        <v>291</v>
      </c>
      <c r="C95" s="13" t="s">
        <v>43</v>
      </c>
      <c r="D95" s="12" t="s">
        <v>93</v>
      </c>
      <c r="E95" s="71" t="str">
        <f t="shared" si="14"/>
        <v>0x0350</v>
      </c>
      <c r="F95" s="13" t="s">
        <v>435</v>
      </c>
      <c r="G95" s="13" t="s">
        <v>321</v>
      </c>
      <c r="H95" s="7" t="s">
        <v>18</v>
      </c>
      <c r="I95" s="7" t="s">
        <v>14</v>
      </c>
      <c r="J95" s="24" t="s">
        <v>15</v>
      </c>
      <c r="K95" s="95"/>
      <c r="L95" s="93" t="s">
        <v>78</v>
      </c>
      <c r="M95" s="23" t="s">
        <v>235</v>
      </c>
      <c r="N95" s="7" t="s">
        <v>236</v>
      </c>
      <c r="O95" s="7" t="s">
        <v>429</v>
      </c>
      <c r="P95" s="9" t="s">
        <v>432</v>
      </c>
      <c r="R95" s="20" t="str">
        <f t="shared" si="8"/>
        <v>10</v>
      </c>
      <c r="S95" s="7" t="str">
        <f t="shared" si="9"/>
        <v>00</v>
      </c>
      <c r="T95" s="7" t="str">
        <f t="shared" si="10"/>
        <v>000</v>
      </c>
      <c r="U95" s="9" t="str">
        <f t="shared" si="11"/>
        <v>//0x00400000   Pinmode:DPI_DATAO[9]</v>
      </c>
      <c r="W95" s="1">
        <f t="shared" si="12"/>
        <v>0</v>
      </c>
      <c r="X95" s="1" t="str">
        <f t="shared" si="13"/>
        <v>DPI_DATAO[9]</v>
      </c>
      <c r="Z95" s="89" t="s">
        <v>186</v>
      </c>
      <c r="AA95" s="76" t="s">
        <v>37</v>
      </c>
      <c r="AB95" s="64" t="s">
        <v>186</v>
      </c>
      <c r="AC95" s="76" t="s">
        <v>37</v>
      </c>
      <c r="AD95" s="64" t="s">
        <v>186</v>
      </c>
      <c r="AE95" s="76" t="s">
        <v>37</v>
      </c>
      <c r="AF95" s="64" t="s">
        <v>186</v>
      </c>
      <c r="AG95" s="76" t="s">
        <v>37</v>
      </c>
      <c r="AH95" s="64" t="s">
        <v>186</v>
      </c>
      <c r="AI95" s="76" t="s">
        <v>37</v>
      </c>
      <c r="AJ95" s="64" t="s">
        <v>186</v>
      </c>
      <c r="AK95" s="76" t="s">
        <v>37</v>
      </c>
      <c r="AL95" s="58" t="s">
        <v>187</v>
      </c>
      <c r="AM95" s="76" t="s">
        <v>37</v>
      </c>
      <c r="AN95" s="59" t="s">
        <v>468</v>
      </c>
      <c r="AO95" s="77" t="s">
        <v>120</v>
      </c>
    </row>
    <row r="96" spans="2:41" x14ac:dyDescent="0.2">
      <c r="B96" s="10" t="s">
        <v>292</v>
      </c>
      <c r="C96" s="13" t="s">
        <v>44</v>
      </c>
      <c r="D96" s="12" t="s">
        <v>93</v>
      </c>
      <c r="E96" s="71" t="str">
        <f t="shared" si="14"/>
        <v>0x0354</v>
      </c>
      <c r="F96" s="13" t="s">
        <v>436</v>
      </c>
      <c r="G96" s="13" t="s">
        <v>321</v>
      </c>
      <c r="H96" s="7" t="s">
        <v>18</v>
      </c>
      <c r="I96" s="7" t="s">
        <v>14</v>
      </c>
      <c r="J96" s="24" t="s">
        <v>15</v>
      </c>
      <c r="K96" s="95"/>
      <c r="L96" s="93" t="s">
        <v>78</v>
      </c>
      <c r="M96" s="23" t="s">
        <v>235</v>
      </c>
      <c r="N96" s="7" t="s">
        <v>236</v>
      </c>
      <c r="O96" s="7" t="s">
        <v>429</v>
      </c>
      <c r="P96" s="9" t="s">
        <v>432</v>
      </c>
      <c r="R96" s="20" t="str">
        <f t="shared" si="8"/>
        <v>10</v>
      </c>
      <c r="S96" s="7" t="str">
        <f t="shared" si="9"/>
        <v>00</v>
      </c>
      <c r="T96" s="7" t="str">
        <f t="shared" si="10"/>
        <v>000</v>
      </c>
      <c r="U96" s="9" t="str">
        <f t="shared" si="11"/>
        <v>//0x00400000   Pinmode:DPI_DATAO[10]</v>
      </c>
      <c r="W96" s="1">
        <f t="shared" si="12"/>
        <v>0</v>
      </c>
      <c r="X96" s="1" t="str">
        <f t="shared" si="13"/>
        <v>DPI_DATAO[10]</v>
      </c>
      <c r="Z96" s="89" t="s">
        <v>188</v>
      </c>
      <c r="AA96" s="76" t="s">
        <v>37</v>
      </c>
      <c r="AB96" s="64" t="s">
        <v>188</v>
      </c>
      <c r="AC96" s="76" t="s">
        <v>37</v>
      </c>
      <c r="AD96" s="64" t="s">
        <v>188</v>
      </c>
      <c r="AE96" s="76" t="s">
        <v>37</v>
      </c>
      <c r="AF96" s="64" t="s">
        <v>188</v>
      </c>
      <c r="AG96" s="76" t="s">
        <v>37</v>
      </c>
      <c r="AH96" s="64" t="s">
        <v>188</v>
      </c>
      <c r="AI96" s="76" t="s">
        <v>37</v>
      </c>
      <c r="AJ96" s="64" t="s">
        <v>188</v>
      </c>
      <c r="AK96" s="76" t="s">
        <v>37</v>
      </c>
      <c r="AL96" s="58" t="s">
        <v>189</v>
      </c>
      <c r="AM96" s="76" t="s">
        <v>37</v>
      </c>
      <c r="AN96" s="59" t="s">
        <v>469</v>
      </c>
      <c r="AO96" s="77" t="s">
        <v>120</v>
      </c>
    </row>
    <row r="97" spans="2:41" x14ac:dyDescent="0.2">
      <c r="B97" s="10" t="s">
        <v>293</v>
      </c>
      <c r="C97" s="13" t="s">
        <v>45</v>
      </c>
      <c r="D97" s="12" t="s">
        <v>93</v>
      </c>
      <c r="E97" s="71" t="str">
        <f t="shared" si="14"/>
        <v>0x0358</v>
      </c>
      <c r="F97" s="13" t="s">
        <v>413</v>
      </c>
      <c r="G97" s="13" t="s">
        <v>321</v>
      </c>
      <c r="H97" s="7" t="s">
        <v>18</v>
      </c>
      <c r="I97" s="7" t="s">
        <v>14</v>
      </c>
      <c r="J97" s="24" t="s">
        <v>15</v>
      </c>
      <c r="K97" s="95"/>
      <c r="L97" s="93" t="s">
        <v>78</v>
      </c>
      <c r="M97" s="23" t="s">
        <v>235</v>
      </c>
      <c r="N97" s="7" t="s">
        <v>236</v>
      </c>
      <c r="O97" s="7" t="s">
        <v>429</v>
      </c>
      <c r="P97" s="9" t="s">
        <v>432</v>
      </c>
      <c r="R97" s="20" t="str">
        <f t="shared" si="8"/>
        <v>10</v>
      </c>
      <c r="S97" s="7" t="str">
        <f t="shared" si="9"/>
        <v>00</v>
      </c>
      <c r="T97" s="7" t="str">
        <f t="shared" si="10"/>
        <v>000</v>
      </c>
      <c r="U97" s="9" t="str">
        <f t="shared" si="11"/>
        <v>//0x00400000   Pinmode:DPI_DATAO[11]</v>
      </c>
      <c r="W97" s="1">
        <f t="shared" si="12"/>
        <v>0</v>
      </c>
      <c r="X97" s="1" t="str">
        <f t="shared" si="13"/>
        <v>DPI_DATAO[11]</v>
      </c>
      <c r="Z97" s="89" t="s">
        <v>190</v>
      </c>
      <c r="AA97" s="76" t="s">
        <v>37</v>
      </c>
      <c r="AB97" s="64" t="s">
        <v>190</v>
      </c>
      <c r="AC97" s="76" t="s">
        <v>37</v>
      </c>
      <c r="AD97" s="64" t="s">
        <v>190</v>
      </c>
      <c r="AE97" s="76" t="s">
        <v>37</v>
      </c>
      <c r="AF97" s="64" t="s">
        <v>190</v>
      </c>
      <c r="AG97" s="76" t="s">
        <v>37</v>
      </c>
      <c r="AH97" s="64" t="s">
        <v>190</v>
      </c>
      <c r="AI97" s="76" t="s">
        <v>37</v>
      </c>
      <c r="AJ97" s="64" t="s">
        <v>190</v>
      </c>
      <c r="AK97" s="76" t="s">
        <v>37</v>
      </c>
      <c r="AL97" s="58" t="s">
        <v>191</v>
      </c>
      <c r="AM97" s="76" t="s">
        <v>37</v>
      </c>
      <c r="AN97" s="59" t="s">
        <v>470</v>
      </c>
      <c r="AO97" s="77" t="s">
        <v>120</v>
      </c>
    </row>
    <row r="98" spans="2:41" x14ac:dyDescent="0.2">
      <c r="B98" s="10"/>
      <c r="C98" s="13" t="s">
        <v>46</v>
      </c>
      <c r="D98" s="12"/>
      <c r="E98" s="71"/>
      <c r="F98" s="13"/>
      <c r="G98" s="13"/>
      <c r="H98" s="7"/>
      <c r="I98" s="7"/>
      <c r="J98" s="24"/>
      <c r="K98" s="95"/>
      <c r="L98" s="93" t="s">
        <v>78</v>
      </c>
      <c r="M98" s="23" t="s">
        <v>235</v>
      </c>
      <c r="N98" s="7" t="s">
        <v>236</v>
      </c>
      <c r="O98" s="7" t="s">
        <v>75</v>
      </c>
      <c r="P98" s="9" t="s">
        <v>76</v>
      </c>
      <c r="R98" s="20" t="str">
        <f t="shared" si="8"/>
        <v/>
      </c>
      <c r="S98" s="7" t="str">
        <f t="shared" si="9"/>
        <v>00</v>
      </c>
      <c r="T98" s="7" t="str">
        <f t="shared" si="10"/>
        <v/>
      </c>
      <c r="U98" s="9" t="str">
        <f t="shared" si="11"/>
        <v>//0x00000000   Pinmode:0</v>
      </c>
      <c r="W98" s="1">
        <f t="shared" si="12"/>
        <v>0</v>
      </c>
      <c r="X98" s="1">
        <f t="shared" si="13"/>
        <v>0</v>
      </c>
      <c r="Z98" s="40"/>
      <c r="AA98" s="41"/>
      <c r="AB98" s="42"/>
      <c r="AC98" s="41"/>
      <c r="AD98" s="43"/>
      <c r="AE98" s="41"/>
      <c r="AF98" s="42"/>
      <c r="AG98" s="41"/>
      <c r="AH98" s="42"/>
      <c r="AI98" s="41"/>
      <c r="AJ98" s="43"/>
      <c r="AK98" s="41"/>
      <c r="AL98" s="74"/>
      <c r="AM98" s="44"/>
      <c r="AN98" s="42"/>
      <c r="AO98" s="45"/>
    </row>
    <row r="99" spans="2:41" x14ac:dyDescent="0.2">
      <c r="B99" s="10"/>
      <c r="C99" s="13" t="s">
        <v>47</v>
      </c>
      <c r="D99" s="12"/>
      <c r="E99" s="71"/>
      <c r="F99" s="25"/>
      <c r="G99" s="25"/>
      <c r="H99" s="7"/>
      <c r="I99" s="7"/>
      <c r="J99" s="24"/>
      <c r="K99" s="95"/>
      <c r="L99" s="93" t="s">
        <v>78</v>
      </c>
      <c r="M99" s="23" t="s">
        <v>235</v>
      </c>
      <c r="N99" s="7" t="s">
        <v>236</v>
      </c>
      <c r="O99" s="7" t="s">
        <v>75</v>
      </c>
      <c r="P99" s="9" t="s">
        <v>76</v>
      </c>
      <c r="R99" s="20" t="str">
        <f t="shared" si="8"/>
        <v/>
      </c>
      <c r="S99" s="7" t="str">
        <f t="shared" si="9"/>
        <v>00</v>
      </c>
      <c r="T99" s="7" t="str">
        <f t="shared" si="10"/>
        <v/>
      </c>
      <c r="U99" s="9" t="str">
        <f t="shared" si="11"/>
        <v>//0x00000000   Pinmode:0</v>
      </c>
      <c r="W99" s="1">
        <f t="shared" si="12"/>
        <v>0</v>
      </c>
      <c r="X99" s="1">
        <f t="shared" si="13"/>
        <v>0</v>
      </c>
      <c r="Z99" s="37"/>
      <c r="AA99" s="33"/>
      <c r="AB99" s="34"/>
      <c r="AC99" s="33"/>
      <c r="AD99" s="35"/>
      <c r="AE99" s="33"/>
      <c r="AF99" s="34"/>
      <c r="AG99" s="33"/>
      <c r="AH99" s="34"/>
      <c r="AI99" s="33"/>
      <c r="AJ99" s="35"/>
      <c r="AK99" s="33"/>
      <c r="AL99" s="39"/>
      <c r="AM99" s="38"/>
      <c r="AN99" s="34"/>
      <c r="AO99" s="36"/>
    </row>
    <row r="100" spans="2:41" x14ac:dyDescent="0.2">
      <c r="B100" s="10"/>
      <c r="C100" s="13" t="s">
        <v>47</v>
      </c>
      <c r="D100" s="12"/>
      <c r="E100" s="71"/>
      <c r="F100" s="13"/>
      <c r="G100" s="13"/>
      <c r="H100" s="7"/>
      <c r="I100" s="7"/>
      <c r="J100" s="24"/>
      <c r="K100" s="95"/>
      <c r="L100" s="93" t="s">
        <v>78</v>
      </c>
      <c r="M100" s="23" t="s">
        <v>235</v>
      </c>
      <c r="N100" s="7" t="s">
        <v>236</v>
      </c>
      <c r="O100" s="7" t="s">
        <v>75</v>
      </c>
      <c r="P100" s="9" t="s">
        <v>76</v>
      </c>
      <c r="R100" s="20" t="str">
        <f t="shared" si="8"/>
        <v/>
      </c>
      <c r="S100" s="7" t="str">
        <f t="shared" si="9"/>
        <v>00</v>
      </c>
      <c r="T100" s="7" t="str">
        <f t="shared" si="10"/>
        <v/>
      </c>
      <c r="U100" s="9" t="str">
        <f t="shared" si="11"/>
        <v>//0x00000000   Pinmode:0</v>
      </c>
      <c r="W100" s="1">
        <f t="shared" si="12"/>
        <v>0</v>
      </c>
      <c r="X100" s="1">
        <f t="shared" si="13"/>
        <v>0</v>
      </c>
      <c r="Z100" s="37"/>
      <c r="AA100" s="33"/>
      <c r="AB100" s="34"/>
      <c r="AC100" s="33"/>
      <c r="AD100" s="35"/>
      <c r="AE100" s="33"/>
      <c r="AF100" s="34"/>
      <c r="AG100" s="33"/>
      <c r="AH100" s="34"/>
      <c r="AI100" s="33"/>
      <c r="AJ100" s="35"/>
      <c r="AK100" s="33"/>
      <c r="AL100" s="39"/>
      <c r="AM100" s="38"/>
      <c r="AN100" s="34"/>
      <c r="AO100" s="36"/>
    </row>
    <row r="101" spans="2:41" x14ac:dyDescent="0.2">
      <c r="B101" s="10"/>
      <c r="C101" s="13" t="s">
        <v>47</v>
      </c>
      <c r="D101" s="12"/>
      <c r="E101" s="71"/>
      <c r="F101" s="13"/>
      <c r="G101" s="13"/>
      <c r="H101" s="7"/>
      <c r="I101" s="7"/>
      <c r="J101" s="24"/>
      <c r="K101" s="95"/>
      <c r="L101" s="93" t="s">
        <v>78</v>
      </c>
      <c r="M101" s="23" t="s">
        <v>235</v>
      </c>
      <c r="N101" s="7" t="s">
        <v>236</v>
      </c>
      <c r="O101" s="7" t="s">
        <v>75</v>
      </c>
      <c r="P101" s="9" t="s">
        <v>76</v>
      </c>
      <c r="R101" s="20" t="str">
        <f t="shared" si="8"/>
        <v/>
      </c>
      <c r="S101" s="7" t="str">
        <f t="shared" si="9"/>
        <v>00</v>
      </c>
      <c r="T101" s="7" t="str">
        <f t="shared" si="10"/>
        <v/>
      </c>
      <c r="U101" s="9" t="str">
        <f t="shared" si="11"/>
        <v>//0x00000000   Pinmode:0</v>
      </c>
      <c r="W101" s="1">
        <f t="shared" si="12"/>
        <v>0</v>
      </c>
      <c r="X101" s="1">
        <f t="shared" si="13"/>
        <v>0</v>
      </c>
      <c r="Z101" s="37"/>
      <c r="AA101" s="33"/>
      <c r="AB101" s="34"/>
      <c r="AC101" s="33"/>
      <c r="AD101" s="35"/>
      <c r="AE101" s="33"/>
      <c r="AF101" s="34"/>
      <c r="AG101" s="33"/>
      <c r="AH101" s="34"/>
      <c r="AI101" s="33"/>
      <c r="AJ101" s="35"/>
      <c r="AK101" s="33"/>
      <c r="AL101" s="39"/>
      <c r="AM101" s="38"/>
      <c r="AN101" s="34"/>
      <c r="AO101" s="36"/>
    </row>
    <row r="102" spans="2:41" ht="17.25" thickBot="1" x14ac:dyDescent="0.25">
      <c r="B102" s="14"/>
      <c r="C102" s="15" t="s">
        <v>49</v>
      </c>
      <c r="D102" s="16"/>
      <c r="E102" s="73"/>
      <c r="F102" s="26"/>
      <c r="G102" s="26"/>
      <c r="H102" s="8"/>
      <c r="I102" s="8"/>
      <c r="J102" s="91"/>
      <c r="K102" s="95"/>
      <c r="L102" s="94" t="s">
        <v>78</v>
      </c>
      <c r="M102" s="90" t="s">
        <v>235</v>
      </c>
      <c r="N102" s="8" t="s">
        <v>236</v>
      </c>
      <c r="O102" s="8" t="s">
        <v>75</v>
      </c>
      <c r="P102" s="92" t="s">
        <v>76</v>
      </c>
      <c r="R102" s="21" t="str">
        <f t="shared" si="8"/>
        <v/>
      </c>
      <c r="S102" s="8" t="str">
        <f t="shared" si="9"/>
        <v>00</v>
      </c>
      <c r="T102" s="8" t="str">
        <f t="shared" si="10"/>
        <v/>
      </c>
      <c r="U102" s="9" t="str">
        <f>"//0x"&amp;DEC2HEX(BIN2DEC(R102)*2^21+BIN2DEC(S102)*2^16+BIN2DEC(T102),8)&amp;"   Pinmode:"&amp;Pinmode</f>
        <v>//0x00000000   Pinmode:0</v>
      </c>
      <c r="W102" s="1">
        <f t="shared" si="12"/>
        <v>0</v>
      </c>
      <c r="X102" s="1">
        <f t="shared" si="13"/>
        <v>0</v>
      </c>
      <c r="Z102" s="46"/>
      <c r="AA102" s="47"/>
      <c r="AB102" s="48"/>
      <c r="AC102" s="49"/>
      <c r="AD102" s="48"/>
      <c r="AE102" s="47"/>
      <c r="AF102" s="48"/>
      <c r="AG102" s="47"/>
      <c r="AH102" s="50"/>
      <c r="AI102" s="47"/>
      <c r="AJ102" s="48"/>
      <c r="AK102" s="47"/>
      <c r="AL102" s="51"/>
      <c r="AM102" s="52"/>
      <c r="AN102" s="48"/>
      <c r="AO102" s="53"/>
    </row>
    <row r="105" spans="2:41" ht="16.5" hidden="1" customHeight="1" outlineLevel="1" x14ac:dyDescent="0.25">
      <c r="W105" s="1" t="s">
        <v>415</v>
      </c>
      <c r="X105" s="1">
        <f t="shared" ref="X105:X110" si="15">COUNTIFS(result_pinmux_mode, W105)</f>
        <v>5</v>
      </c>
    </row>
    <row r="106" spans="2:41" ht="16.5" hidden="1" customHeight="1" outlineLevel="1" x14ac:dyDescent="0.25">
      <c r="F106" s="1">
        <v>1</v>
      </c>
      <c r="G106" s="1" t="s">
        <v>322</v>
      </c>
      <c r="H106" s="1" t="s">
        <v>18</v>
      </c>
      <c r="I106" s="1" t="s">
        <v>59</v>
      </c>
      <c r="J106" s="1" t="s">
        <v>67</v>
      </c>
      <c r="L106" s="1" t="s">
        <v>72</v>
      </c>
      <c r="M106" s="1" t="s">
        <v>58</v>
      </c>
      <c r="N106" s="1" t="s">
        <v>236</v>
      </c>
      <c r="O106" s="1" t="s">
        <v>426</v>
      </c>
      <c r="P106" s="1" t="s">
        <v>77</v>
      </c>
      <c r="W106" s="1" t="s">
        <v>416</v>
      </c>
      <c r="X106" s="1">
        <f t="shared" si="15"/>
        <v>6</v>
      </c>
    </row>
    <row r="107" spans="2:41" ht="16.5" hidden="1" customHeight="1" outlineLevel="1" x14ac:dyDescent="0.25">
      <c r="F107" s="1">
        <v>2</v>
      </c>
      <c r="G107" s="1" t="s">
        <v>324</v>
      </c>
      <c r="H107" s="1" t="s">
        <v>51</v>
      </c>
      <c r="I107" s="1" t="s">
        <v>66</v>
      </c>
      <c r="J107" s="1" t="s">
        <v>68</v>
      </c>
      <c r="L107" s="1" t="s">
        <v>73</v>
      </c>
      <c r="M107" s="1" t="s">
        <v>237</v>
      </c>
      <c r="N107" s="1" t="s">
        <v>74</v>
      </c>
      <c r="O107" s="1" t="s">
        <v>427</v>
      </c>
      <c r="P107" s="1" t="s">
        <v>431</v>
      </c>
      <c r="W107" s="1" t="s">
        <v>420</v>
      </c>
      <c r="X107" s="1">
        <f t="shared" si="15"/>
        <v>6</v>
      </c>
    </row>
    <row r="108" spans="2:41" ht="16.5" hidden="1" customHeight="1" outlineLevel="1" x14ac:dyDescent="0.25">
      <c r="F108" s="1">
        <v>3</v>
      </c>
      <c r="H108" s="1" t="s">
        <v>52</v>
      </c>
      <c r="I108" s="1" t="s">
        <v>60</v>
      </c>
      <c r="J108" s="1" t="s">
        <v>15</v>
      </c>
      <c r="O108" s="1" t="s">
        <v>428</v>
      </c>
      <c r="P108" s="1" t="s">
        <v>433</v>
      </c>
      <c r="W108" s="1" t="s">
        <v>424</v>
      </c>
      <c r="X108" s="1">
        <f t="shared" si="15"/>
        <v>5</v>
      </c>
    </row>
    <row r="109" spans="2:41" ht="16.5" hidden="1" customHeight="1" outlineLevel="1" x14ac:dyDescent="0.25">
      <c r="F109" s="1">
        <v>4</v>
      </c>
      <c r="H109" s="1" t="s">
        <v>53</v>
      </c>
      <c r="J109" s="1" t="s">
        <v>55</v>
      </c>
      <c r="O109" s="1" t="s">
        <v>430</v>
      </c>
      <c r="W109" s="1" t="s">
        <v>421</v>
      </c>
      <c r="X109" s="1">
        <f t="shared" si="15"/>
        <v>5</v>
      </c>
    </row>
    <row r="110" spans="2:41" ht="16.5" hidden="1" customHeight="1" outlineLevel="1" x14ac:dyDescent="0.25">
      <c r="F110" s="1">
        <v>5</v>
      </c>
      <c r="H110" s="1" t="s">
        <v>54</v>
      </c>
      <c r="W110" s="1" t="s">
        <v>422</v>
      </c>
      <c r="X110" s="1">
        <f t="shared" si="15"/>
        <v>1</v>
      </c>
    </row>
    <row r="111" spans="2:41" ht="16.5" hidden="1" customHeight="1" outlineLevel="1" x14ac:dyDescent="0.25">
      <c r="F111" s="1">
        <v>6</v>
      </c>
      <c r="H111" s="1" t="s">
        <v>56</v>
      </c>
    </row>
    <row r="112" spans="2:41" ht="16.5" hidden="1" customHeight="1" outlineLevel="1" x14ac:dyDescent="0.25">
      <c r="F112" s="1">
        <v>7</v>
      </c>
      <c r="H112" s="1" t="s">
        <v>57</v>
      </c>
      <c r="W112" s="1" t="s">
        <v>419</v>
      </c>
      <c r="X112" s="1">
        <f>COUNTIFS(result_pinmux_mode, W112)</f>
        <v>0</v>
      </c>
    </row>
    <row r="113" spans="6:24" ht="16.5" hidden="1" customHeight="1" outlineLevel="1" x14ac:dyDescent="0.25">
      <c r="F113" s="1">
        <v>8</v>
      </c>
      <c r="H113" s="1" t="s">
        <v>61</v>
      </c>
      <c r="W113" s="1" t="s">
        <v>417</v>
      </c>
      <c r="X113" s="1">
        <f>COUNTIFS(result_pinmux_mode, W113)</f>
        <v>0</v>
      </c>
    </row>
    <row r="114" spans="6:24" ht="16.5" hidden="1" customHeight="1" outlineLevel="1" x14ac:dyDescent="0.25">
      <c r="F114" s="1">
        <v>9</v>
      </c>
      <c r="W114" s="1" t="s">
        <v>418</v>
      </c>
      <c r="X114" s="1">
        <f>COUNTIFS(result_pinmux_mode, W114)</f>
        <v>0</v>
      </c>
    </row>
    <row r="115" spans="6:24" ht="16.5" hidden="1" customHeight="1" outlineLevel="1" x14ac:dyDescent="0.25">
      <c r="F115" s="1">
        <v>10</v>
      </c>
    </row>
    <row r="116" spans="6:24" ht="16.5" hidden="1" customHeight="1" outlineLevel="1" x14ac:dyDescent="0.25"/>
    <row r="117" spans="6:24" ht="16.5" hidden="1" customHeight="1" outlineLevel="1" x14ac:dyDescent="0.25">
      <c r="F117" s="1" t="s">
        <v>414</v>
      </c>
      <c r="H117" s="1" t="s">
        <v>18</v>
      </c>
      <c r="I117" s="1" t="s">
        <v>59</v>
      </c>
      <c r="J117" s="1" t="s">
        <v>15</v>
      </c>
      <c r="L117" s="1" t="s">
        <v>72</v>
      </c>
      <c r="M117" s="1" t="s">
        <v>58</v>
      </c>
      <c r="N117" s="1" t="s">
        <v>471</v>
      </c>
      <c r="O117" s="1" t="s">
        <v>426</v>
      </c>
      <c r="P117" s="1" t="s">
        <v>77</v>
      </c>
    </row>
    <row r="118" spans="6:24" ht="16.5" hidden="1" customHeight="1" outlineLevel="1" x14ac:dyDescent="0.25"/>
    <row r="119" spans="6:24" ht="16.5" hidden="1" customHeight="1" outlineLevel="1" x14ac:dyDescent="0.25"/>
    <row r="120" spans="6:24" ht="16.5" hidden="1" customHeight="1" outlineLevel="1" x14ac:dyDescent="0.25"/>
    <row r="121" spans="6:24" ht="16.5" hidden="1" customHeight="1" outlineLevel="1" x14ac:dyDescent="0.25"/>
    <row r="122" spans="6:24" ht="16.5" hidden="1" customHeight="1" outlineLevel="1" x14ac:dyDescent="0.25"/>
    <row r="123" spans="6:24" ht="16.5" hidden="1" customHeight="1" outlineLevel="1" x14ac:dyDescent="0.25"/>
    <row r="124" spans="6:24" ht="16.5" hidden="1" customHeight="1" outlineLevel="1" x14ac:dyDescent="0.25"/>
    <row r="125" spans="6:24" ht="16.5" hidden="1" customHeight="1" outlineLevel="1" x14ac:dyDescent="0.25">
      <c r="G125" s="1" t="s">
        <v>335</v>
      </c>
    </row>
    <row r="126" spans="6:24" ht="16.5" hidden="1" customHeight="1" outlineLevel="1" x14ac:dyDescent="0.25">
      <c r="G126" s="1" t="s">
        <v>321</v>
      </c>
      <c r="H126" s="1" t="s">
        <v>18</v>
      </c>
      <c r="I126" s="1" t="s">
        <v>14</v>
      </c>
      <c r="J126" s="1" t="s">
        <v>15</v>
      </c>
      <c r="L126" s="1" t="s">
        <v>78</v>
      </c>
      <c r="M126" s="1" t="s">
        <v>235</v>
      </c>
      <c r="N126" s="1" t="s">
        <v>236</v>
      </c>
      <c r="O126" s="1" t="s">
        <v>430</v>
      </c>
      <c r="P126" s="1" t="s">
        <v>433</v>
      </c>
    </row>
    <row r="127" spans="6:24" ht="16.5" hidden="1" customHeight="1" outlineLevel="1" x14ac:dyDescent="0.25">
      <c r="G127" s="1" t="s">
        <v>321</v>
      </c>
      <c r="H127" s="1" t="s">
        <v>18</v>
      </c>
      <c r="I127" s="1" t="s">
        <v>14</v>
      </c>
      <c r="J127" s="1" t="s">
        <v>15</v>
      </c>
      <c r="L127" s="1" t="s">
        <v>78</v>
      </c>
      <c r="M127" s="1" t="s">
        <v>235</v>
      </c>
      <c r="N127" s="1" t="s">
        <v>236</v>
      </c>
      <c r="O127" s="1" t="s">
        <v>430</v>
      </c>
      <c r="P127" s="1" t="s">
        <v>433</v>
      </c>
    </row>
    <row r="128" spans="6:24" ht="16.5" hidden="1" customHeight="1" outlineLevel="1" x14ac:dyDescent="0.25">
      <c r="G128" s="1" t="s">
        <v>321</v>
      </c>
      <c r="H128" s="1" t="s">
        <v>18</v>
      </c>
      <c r="I128" s="1" t="s">
        <v>14</v>
      </c>
      <c r="J128" s="1" t="s">
        <v>15</v>
      </c>
      <c r="L128" s="1" t="s">
        <v>78</v>
      </c>
      <c r="M128" s="1" t="s">
        <v>235</v>
      </c>
      <c r="N128" s="1" t="s">
        <v>236</v>
      </c>
      <c r="O128" s="1" t="s">
        <v>430</v>
      </c>
      <c r="P128" s="1" t="s">
        <v>433</v>
      </c>
    </row>
    <row r="129" spans="7:16" ht="16.5" hidden="1" customHeight="1" outlineLevel="1" x14ac:dyDescent="0.25">
      <c r="G129" s="1" t="s">
        <v>321</v>
      </c>
      <c r="H129" s="1" t="s">
        <v>18</v>
      </c>
      <c r="I129" s="1" t="s">
        <v>14</v>
      </c>
      <c r="J129" s="1" t="s">
        <v>15</v>
      </c>
      <c r="L129" s="1" t="s">
        <v>78</v>
      </c>
      <c r="M129" s="1" t="s">
        <v>235</v>
      </c>
      <c r="N129" s="1" t="s">
        <v>236</v>
      </c>
      <c r="O129" s="1" t="s">
        <v>430</v>
      </c>
      <c r="P129" s="1" t="s">
        <v>433</v>
      </c>
    </row>
    <row r="130" spans="7:16" ht="16.5" hidden="1" customHeight="1" outlineLevel="1" x14ac:dyDescent="0.25">
      <c r="G130" s="1" t="s">
        <v>321</v>
      </c>
      <c r="H130" s="1" t="s">
        <v>18</v>
      </c>
      <c r="I130" s="1" t="s">
        <v>14</v>
      </c>
      <c r="J130" s="1" t="s">
        <v>15</v>
      </c>
      <c r="L130" s="1" t="s">
        <v>78</v>
      </c>
      <c r="M130" s="1" t="s">
        <v>235</v>
      </c>
      <c r="N130" s="1" t="s">
        <v>236</v>
      </c>
      <c r="O130" s="1" t="s">
        <v>430</v>
      </c>
      <c r="P130" s="1" t="s">
        <v>433</v>
      </c>
    </row>
    <row r="131" spans="7:16" ht="16.5" hidden="1" customHeight="1" outlineLevel="1" x14ac:dyDescent="0.25">
      <c r="G131" s="1" t="s">
        <v>321</v>
      </c>
      <c r="H131" s="1" t="s">
        <v>18</v>
      </c>
      <c r="I131" s="1" t="s">
        <v>14</v>
      </c>
      <c r="J131" s="1" t="s">
        <v>15</v>
      </c>
      <c r="L131" s="1" t="s">
        <v>78</v>
      </c>
      <c r="M131" s="1" t="s">
        <v>235</v>
      </c>
      <c r="N131" s="1" t="s">
        <v>236</v>
      </c>
      <c r="O131" s="1" t="s">
        <v>430</v>
      </c>
      <c r="P131" s="1" t="s">
        <v>433</v>
      </c>
    </row>
    <row r="132" spans="7:16" ht="16.5" hidden="1" customHeight="1" outlineLevel="1" x14ac:dyDescent="0.25">
      <c r="G132" s="1" t="s">
        <v>321</v>
      </c>
      <c r="H132" s="1" t="s">
        <v>18</v>
      </c>
      <c r="I132" s="1" t="s">
        <v>14</v>
      </c>
      <c r="J132" s="1" t="s">
        <v>15</v>
      </c>
      <c r="L132" s="1" t="s">
        <v>78</v>
      </c>
      <c r="M132" s="1" t="s">
        <v>235</v>
      </c>
      <c r="N132" s="1" t="s">
        <v>236</v>
      </c>
      <c r="O132" s="1" t="s">
        <v>430</v>
      </c>
      <c r="P132" s="1" t="s">
        <v>433</v>
      </c>
    </row>
    <row r="133" spans="7:16" ht="16.5" hidden="1" customHeight="1" outlineLevel="1" x14ac:dyDescent="0.25">
      <c r="G133" s="1" t="s">
        <v>321</v>
      </c>
      <c r="H133" s="1" t="s">
        <v>18</v>
      </c>
      <c r="I133" s="1" t="s">
        <v>14</v>
      </c>
      <c r="J133" s="1" t="s">
        <v>15</v>
      </c>
      <c r="L133" s="1" t="s">
        <v>78</v>
      </c>
      <c r="M133" s="1" t="s">
        <v>235</v>
      </c>
      <c r="N133" s="1" t="s">
        <v>236</v>
      </c>
      <c r="O133" s="1" t="s">
        <v>430</v>
      </c>
      <c r="P133" s="1" t="s">
        <v>433</v>
      </c>
    </row>
    <row r="134" spans="7:16" ht="16.5" hidden="1" customHeight="1" outlineLevel="1" x14ac:dyDescent="0.25">
      <c r="G134" s="1" t="s">
        <v>321</v>
      </c>
      <c r="H134" s="1" t="s">
        <v>18</v>
      </c>
      <c r="I134" s="1" t="s">
        <v>14</v>
      </c>
      <c r="J134" s="1" t="s">
        <v>15</v>
      </c>
      <c r="L134" s="1" t="s">
        <v>78</v>
      </c>
      <c r="M134" s="1" t="s">
        <v>235</v>
      </c>
      <c r="N134" s="1" t="s">
        <v>236</v>
      </c>
      <c r="O134" s="1" t="s">
        <v>430</v>
      </c>
      <c r="P134" s="1" t="s">
        <v>433</v>
      </c>
    </row>
    <row r="135" spans="7:16" ht="16.5" hidden="1" customHeight="1" outlineLevel="1" x14ac:dyDescent="0.25">
      <c r="G135" s="1" t="s">
        <v>321</v>
      </c>
      <c r="H135" s="1" t="s">
        <v>18</v>
      </c>
      <c r="I135" s="1" t="s">
        <v>14</v>
      </c>
      <c r="J135" s="1" t="s">
        <v>15</v>
      </c>
      <c r="L135" s="1" t="s">
        <v>78</v>
      </c>
      <c r="M135" s="1" t="s">
        <v>235</v>
      </c>
      <c r="N135" s="1" t="s">
        <v>236</v>
      </c>
      <c r="O135" s="1" t="s">
        <v>430</v>
      </c>
      <c r="P135" s="1" t="s">
        <v>433</v>
      </c>
    </row>
    <row r="136" spans="7:16" ht="16.5" hidden="1" customHeight="1" outlineLevel="1" x14ac:dyDescent="0.25">
      <c r="G136" s="1" t="s">
        <v>321</v>
      </c>
      <c r="H136" s="1" t="s">
        <v>18</v>
      </c>
      <c r="I136" s="1" t="s">
        <v>14</v>
      </c>
      <c r="J136" s="1" t="s">
        <v>15</v>
      </c>
      <c r="L136" s="1" t="s">
        <v>78</v>
      </c>
      <c r="M136" s="1" t="s">
        <v>235</v>
      </c>
      <c r="N136" s="1" t="s">
        <v>236</v>
      </c>
      <c r="O136" s="1" t="s">
        <v>430</v>
      </c>
      <c r="P136" s="1" t="s">
        <v>433</v>
      </c>
    </row>
    <row r="137" spans="7:16" ht="16.5" hidden="1" customHeight="1" outlineLevel="1" x14ac:dyDescent="0.25">
      <c r="G137" s="1" t="s">
        <v>321</v>
      </c>
      <c r="H137" s="1" t="s">
        <v>18</v>
      </c>
      <c r="I137" s="1" t="s">
        <v>14</v>
      </c>
      <c r="J137" s="1" t="s">
        <v>15</v>
      </c>
      <c r="L137" s="1" t="s">
        <v>78</v>
      </c>
      <c r="M137" s="1" t="s">
        <v>235</v>
      </c>
      <c r="N137" s="1" t="s">
        <v>236</v>
      </c>
      <c r="O137" s="1" t="s">
        <v>430</v>
      </c>
      <c r="P137" s="1" t="s">
        <v>433</v>
      </c>
    </row>
    <row r="138" spans="7:16" ht="16.5" hidden="1" customHeight="1" outlineLevel="1" x14ac:dyDescent="0.25">
      <c r="G138" s="1" t="s">
        <v>321</v>
      </c>
      <c r="H138" s="1" t="s">
        <v>18</v>
      </c>
      <c r="I138" s="1" t="s">
        <v>14</v>
      </c>
      <c r="J138" s="1" t="s">
        <v>15</v>
      </c>
      <c r="L138" s="1" t="s">
        <v>78</v>
      </c>
      <c r="M138" s="1" t="s">
        <v>235</v>
      </c>
      <c r="N138" s="1" t="s">
        <v>236</v>
      </c>
      <c r="O138" s="1" t="s">
        <v>430</v>
      </c>
      <c r="P138" s="1" t="s">
        <v>433</v>
      </c>
    </row>
    <row r="139" spans="7:16" ht="16.5" hidden="1" customHeight="1" outlineLevel="1" x14ac:dyDescent="0.25">
      <c r="G139" s="1" t="s">
        <v>321</v>
      </c>
      <c r="H139" s="1" t="s">
        <v>18</v>
      </c>
      <c r="I139" s="1" t="s">
        <v>14</v>
      </c>
      <c r="J139" s="1" t="s">
        <v>15</v>
      </c>
      <c r="L139" s="1" t="s">
        <v>78</v>
      </c>
      <c r="M139" s="1" t="s">
        <v>235</v>
      </c>
      <c r="N139" s="1" t="s">
        <v>236</v>
      </c>
      <c r="O139" s="1" t="s">
        <v>430</v>
      </c>
      <c r="P139" s="1" t="s">
        <v>433</v>
      </c>
    </row>
    <row r="140" spans="7:16" ht="16.5" hidden="1" customHeight="1" outlineLevel="1" x14ac:dyDescent="0.25">
      <c r="G140" s="1" t="s">
        <v>321</v>
      </c>
      <c r="H140" s="1" t="s">
        <v>18</v>
      </c>
      <c r="I140" s="1" t="s">
        <v>14</v>
      </c>
      <c r="J140" s="1" t="s">
        <v>15</v>
      </c>
      <c r="L140" s="1" t="s">
        <v>78</v>
      </c>
      <c r="M140" s="1" t="s">
        <v>235</v>
      </c>
      <c r="N140" s="1" t="s">
        <v>236</v>
      </c>
      <c r="O140" s="1" t="s">
        <v>430</v>
      </c>
      <c r="P140" s="1" t="s">
        <v>433</v>
      </c>
    </row>
    <row r="141" spans="7:16" ht="16.5" hidden="1" customHeight="1" outlineLevel="1" x14ac:dyDescent="0.25">
      <c r="G141" s="1" t="s">
        <v>321</v>
      </c>
      <c r="H141" s="1" t="s">
        <v>18</v>
      </c>
      <c r="I141" s="1" t="s">
        <v>14</v>
      </c>
      <c r="J141" s="1" t="s">
        <v>15</v>
      </c>
      <c r="L141" s="1" t="s">
        <v>78</v>
      </c>
      <c r="M141" s="1" t="s">
        <v>235</v>
      </c>
      <c r="N141" s="1" t="s">
        <v>236</v>
      </c>
      <c r="O141" s="1" t="s">
        <v>430</v>
      </c>
      <c r="P141" s="1" t="s">
        <v>433</v>
      </c>
    </row>
    <row r="142" spans="7:16" ht="16.5" hidden="1" customHeight="1" outlineLevel="1" x14ac:dyDescent="0.25">
      <c r="G142" s="1" t="s">
        <v>321</v>
      </c>
      <c r="H142" s="1" t="s">
        <v>18</v>
      </c>
      <c r="I142" s="1" t="s">
        <v>14</v>
      </c>
      <c r="J142" s="1" t="s">
        <v>15</v>
      </c>
      <c r="L142" s="1" t="s">
        <v>78</v>
      </c>
      <c r="M142" s="1" t="s">
        <v>235</v>
      </c>
      <c r="N142" s="1" t="s">
        <v>236</v>
      </c>
      <c r="O142" s="1" t="s">
        <v>430</v>
      </c>
      <c r="P142" s="1" t="s">
        <v>433</v>
      </c>
    </row>
    <row r="143" spans="7:16" ht="16.5" hidden="1" customHeight="1" outlineLevel="1" x14ac:dyDescent="0.25">
      <c r="G143" s="1" t="s">
        <v>321</v>
      </c>
      <c r="H143" s="1" t="s">
        <v>18</v>
      </c>
      <c r="I143" s="1" t="s">
        <v>14</v>
      </c>
      <c r="J143" s="1" t="s">
        <v>15</v>
      </c>
      <c r="L143" s="1" t="s">
        <v>78</v>
      </c>
      <c r="M143" s="1" t="s">
        <v>235</v>
      </c>
      <c r="N143" s="1" t="s">
        <v>236</v>
      </c>
      <c r="O143" s="1" t="s">
        <v>430</v>
      </c>
      <c r="P143" s="1" t="s">
        <v>433</v>
      </c>
    </row>
    <row r="144" spans="7:16" ht="16.5" hidden="1" customHeight="1" outlineLevel="1" x14ac:dyDescent="0.25">
      <c r="G144" s="1" t="s">
        <v>321</v>
      </c>
      <c r="H144" s="1" t="s">
        <v>18</v>
      </c>
      <c r="I144" s="1" t="s">
        <v>14</v>
      </c>
      <c r="J144" s="1" t="s">
        <v>15</v>
      </c>
      <c r="L144" s="1" t="s">
        <v>78</v>
      </c>
      <c r="M144" s="1" t="s">
        <v>235</v>
      </c>
      <c r="N144" s="1" t="s">
        <v>236</v>
      </c>
      <c r="O144" s="1" t="s">
        <v>430</v>
      </c>
      <c r="P144" s="1" t="s">
        <v>433</v>
      </c>
    </row>
    <row r="145" spans="7:16" ht="16.5" hidden="1" customHeight="1" outlineLevel="1" x14ac:dyDescent="0.25">
      <c r="G145" s="1" t="s">
        <v>321</v>
      </c>
      <c r="H145" s="1" t="s">
        <v>18</v>
      </c>
      <c r="I145" s="1" t="s">
        <v>14</v>
      </c>
      <c r="J145" s="1" t="s">
        <v>15</v>
      </c>
      <c r="L145" s="1" t="s">
        <v>78</v>
      </c>
      <c r="M145" s="1" t="s">
        <v>235</v>
      </c>
      <c r="N145" s="1" t="s">
        <v>236</v>
      </c>
      <c r="O145" s="1" t="s">
        <v>430</v>
      </c>
      <c r="P145" s="1" t="s">
        <v>433</v>
      </c>
    </row>
    <row r="146" spans="7:16" ht="16.5" hidden="1" customHeight="1" outlineLevel="1" x14ac:dyDescent="0.25">
      <c r="G146" s="1" t="s">
        <v>321</v>
      </c>
      <c r="H146" s="1" t="s">
        <v>18</v>
      </c>
      <c r="I146" s="1" t="s">
        <v>14</v>
      </c>
      <c r="J146" s="1" t="s">
        <v>15</v>
      </c>
      <c r="L146" s="1" t="s">
        <v>78</v>
      </c>
      <c r="M146" s="1" t="s">
        <v>235</v>
      </c>
      <c r="N146" s="1" t="s">
        <v>236</v>
      </c>
      <c r="O146" s="1" t="s">
        <v>430</v>
      </c>
      <c r="P146" s="1" t="s">
        <v>433</v>
      </c>
    </row>
    <row r="147" spans="7:16" ht="16.5" hidden="1" customHeight="1" outlineLevel="1" x14ac:dyDescent="0.25">
      <c r="G147" s="1" t="s">
        <v>321</v>
      </c>
      <c r="H147" s="1" t="s">
        <v>18</v>
      </c>
      <c r="I147" s="1" t="s">
        <v>14</v>
      </c>
      <c r="J147" s="1" t="s">
        <v>15</v>
      </c>
      <c r="L147" s="1" t="s">
        <v>78</v>
      </c>
      <c r="M147" s="1" t="s">
        <v>235</v>
      </c>
      <c r="N147" s="1" t="s">
        <v>236</v>
      </c>
      <c r="O147" s="1" t="s">
        <v>430</v>
      </c>
      <c r="P147" s="1" t="s">
        <v>433</v>
      </c>
    </row>
    <row r="148" spans="7:16" ht="16.5" hidden="1" customHeight="1" outlineLevel="1" x14ac:dyDescent="0.25">
      <c r="G148" s="1" t="s">
        <v>321</v>
      </c>
      <c r="H148" s="1" t="s">
        <v>18</v>
      </c>
      <c r="I148" s="1" t="s">
        <v>14</v>
      </c>
      <c r="J148" s="1" t="s">
        <v>15</v>
      </c>
      <c r="L148" s="1" t="s">
        <v>78</v>
      </c>
      <c r="M148" s="1" t="s">
        <v>235</v>
      </c>
      <c r="N148" s="1" t="s">
        <v>236</v>
      </c>
      <c r="O148" s="1" t="s">
        <v>430</v>
      </c>
      <c r="P148" s="1" t="s">
        <v>433</v>
      </c>
    </row>
    <row r="149" spans="7:16" ht="16.5" hidden="1" customHeight="1" outlineLevel="1" x14ac:dyDescent="0.25">
      <c r="G149" s="1" t="s">
        <v>321</v>
      </c>
      <c r="H149" s="1" t="s">
        <v>18</v>
      </c>
      <c r="I149" s="1" t="s">
        <v>14</v>
      </c>
      <c r="J149" s="1" t="s">
        <v>15</v>
      </c>
      <c r="L149" s="1" t="s">
        <v>78</v>
      </c>
      <c r="M149" s="1" t="s">
        <v>235</v>
      </c>
      <c r="N149" s="1" t="s">
        <v>236</v>
      </c>
      <c r="O149" s="1" t="s">
        <v>430</v>
      </c>
      <c r="P149" s="1" t="s">
        <v>433</v>
      </c>
    </row>
    <row r="150" spans="7:16" ht="16.5" hidden="1" customHeight="1" outlineLevel="1" x14ac:dyDescent="0.25">
      <c r="G150" s="1" t="s">
        <v>321</v>
      </c>
      <c r="H150" s="1" t="s">
        <v>18</v>
      </c>
      <c r="I150" s="1" t="s">
        <v>14</v>
      </c>
      <c r="J150" s="1" t="s">
        <v>15</v>
      </c>
      <c r="L150" s="1" t="s">
        <v>78</v>
      </c>
      <c r="M150" s="1" t="s">
        <v>235</v>
      </c>
      <c r="N150" s="1" t="s">
        <v>236</v>
      </c>
      <c r="O150" s="1" t="s">
        <v>430</v>
      </c>
      <c r="P150" s="1" t="s">
        <v>433</v>
      </c>
    </row>
    <row r="151" spans="7:16" ht="16.5" hidden="1" customHeight="1" outlineLevel="1" x14ac:dyDescent="0.25">
      <c r="G151" s="1" t="s">
        <v>321</v>
      </c>
      <c r="H151" s="1" t="s">
        <v>18</v>
      </c>
      <c r="I151" s="1" t="s">
        <v>14</v>
      </c>
      <c r="J151" s="1" t="s">
        <v>15</v>
      </c>
      <c r="L151" s="1" t="s">
        <v>78</v>
      </c>
      <c r="M151" s="1" t="s">
        <v>235</v>
      </c>
      <c r="N151" s="1" t="s">
        <v>236</v>
      </c>
      <c r="O151" s="1" t="s">
        <v>430</v>
      </c>
      <c r="P151" s="1" t="s">
        <v>433</v>
      </c>
    </row>
    <row r="152" spans="7:16" ht="16.5" hidden="1" customHeight="1" outlineLevel="1" x14ac:dyDescent="0.25">
      <c r="G152" s="1" t="s">
        <v>321</v>
      </c>
      <c r="H152" s="1" t="s">
        <v>18</v>
      </c>
      <c r="I152" s="1" t="s">
        <v>14</v>
      </c>
      <c r="J152" s="1" t="s">
        <v>15</v>
      </c>
      <c r="L152" s="1" t="s">
        <v>78</v>
      </c>
      <c r="M152" s="1" t="s">
        <v>235</v>
      </c>
      <c r="N152" s="1" t="s">
        <v>236</v>
      </c>
      <c r="O152" s="1" t="s">
        <v>430</v>
      </c>
      <c r="P152" s="1" t="s">
        <v>433</v>
      </c>
    </row>
    <row r="153" spans="7:16" ht="16.5" hidden="1" customHeight="1" outlineLevel="1" x14ac:dyDescent="0.25">
      <c r="G153" s="1" t="s">
        <v>321</v>
      </c>
      <c r="H153" s="1" t="s">
        <v>18</v>
      </c>
      <c r="I153" s="1" t="s">
        <v>14</v>
      </c>
      <c r="J153" s="1" t="s">
        <v>15</v>
      </c>
      <c r="L153" s="1" t="s">
        <v>78</v>
      </c>
      <c r="M153" s="1" t="s">
        <v>235</v>
      </c>
      <c r="N153" s="1" t="s">
        <v>236</v>
      </c>
      <c r="O153" s="1" t="s">
        <v>430</v>
      </c>
      <c r="P153" s="1" t="s">
        <v>433</v>
      </c>
    </row>
    <row r="154" spans="7:16" ht="16.5" hidden="1" customHeight="1" outlineLevel="1" x14ac:dyDescent="0.25">
      <c r="G154" s="1" t="s">
        <v>321</v>
      </c>
      <c r="H154" s="1" t="s">
        <v>18</v>
      </c>
      <c r="I154" s="1" t="s">
        <v>14</v>
      </c>
      <c r="J154" s="1" t="s">
        <v>15</v>
      </c>
      <c r="L154" s="1" t="s">
        <v>78</v>
      </c>
      <c r="M154" s="1" t="s">
        <v>235</v>
      </c>
      <c r="N154" s="1" t="s">
        <v>236</v>
      </c>
      <c r="O154" s="1" t="s">
        <v>430</v>
      </c>
      <c r="P154" s="1" t="s">
        <v>433</v>
      </c>
    </row>
    <row r="155" spans="7:16" ht="16.5" hidden="1" customHeight="1" outlineLevel="1" x14ac:dyDescent="0.25">
      <c r="G155" s="1" t="s">
        <v>321</v>
      </c>
      <c r="H155" s="1" t="s">
        <v>18</v>
      </c>
      <c r="I155" s="1" t="s">
        <v>14</v>
      </c>
      <c r="J155" s="1" t="s">
        <v>15</v>
      </c>
      <c r="L155" s="1" t="s">
        <v>78</v>
      </c>
      <c r="M155" s="1" t="s">
        <v>235</v>
      </c>
      <c r="N155" s="1" t="s">
        <v>236</v>
      </c>
      <c r="O155" s="1" t="s">
        <v>430</v>
      </c>
      <c r="P155" s="1" t="s">
        <v>433</v>
      </c>
    </row>
    <row r="156" spans="7:16" ht="16.5" hidden="1" customHeight="1" outlineLevel="1" x14ac:dyDescent="0.25">
      <c r="G156" s="1" t="s">
        <v>321</v>
      </c>
      <c r="H156" s="1" t="s">
        <v>18</v>
      </c>
      <c r="I156" s="1" t="s">
        <v>14</v>
      </c>
      <c r="J156" s="1" t="s">
        <v>15</v>
      </c>
      <c r="L156" s="1" t="s">
        <v>78</v>
      </c>
      <c r="M156" s="1" t="s">
        <v>235</v>
      </c>
      <c r="N156" s="1" t="s">
        <v>236</v>
      </c>
      <c r="O156" s="1" t="s">
        <v>430</v>
      </c>
      <c r="P156" s="1" t="s">
        <v>433</v>
      </c>
    </row>
    <row r="157" spans="7:16" ht="16.5" hidden="1" customHeight="1" outlineLevel="1" x14ac:dyDescent="0.25">
      <c r="G157" s="1" t="s">
        <v>321</v>
      </c>
      <c r="H157" s="1" t="s">
        <v>18</v>
      </c>
      <c r="I157" s="1" t="s">
        <v>14</v>
      </c>
      <c r="J157" s="1" t="s">
        <v>15</v>
      </c>
      <c r="L157" s="1" t="s">
        <v>78</v>
      </c>
      <c r="M157" s="1" t="s">
        <v>235</v>
      </c>
      <c r="N157" s="1" t="s">
        <v>236</v>
      </c>
      <c r="O157" s="1" t="s">
        <v>430</v>
      </c>
      <c r="P157" s="1" t="s">
        <v>433</v>
      </c>
    </row>
    <row r="158" spans="7:16" ht="16.5" hidden="1" customHeight="1" outlineLevel="1" x14ac:dyDescent="0.25">
      <c r="G158" s="1" t="s">
        <v>321</v>
      </c>
      <c r="H158" s="1" t="s">
        <v>18</v>
      </c>
      <c r="I158" s="1" t="s">
        <v>14</v>
      </c>
      <c r="J158" s="1" t="s">
        <v>15</v>
      </c>
      <c r="L158" s="1" t="s">
        <v>78</v>
      </c>
      <c r="M158" s="1" t="s">
        <v>235</v>
      </c>
      <c r="N158" s="1" t="s">
        <v>236</v>
      </c>
      <c r="O158" s="1" t="s">
        <v>430</v>
      </c>
      <c r="P158" s="1" t="s">
        <v>433</v>
      </c>
    </row>
    <row r="159" spans="7:16" ht="16.5" hidden="1" customHeight="1" outlineLevel="1" x14ac:dyDescent="0.25">
      <c r="G159" s="1" t="s">
        <v>321</v>
      </c>
      <c r="H159" s="1" t="s">
        <v>18</v>
      </c>
      <c r="I159" s="1" t="s">
        <v>14</v>
      </c>
      <c r="J159" s="1" t="s">
        <v>15</v>
      </c>
      <c r="L159" s="1" t="s">
        <v>78</v>
      </c>
      <c r="M159" s="1" t="s">
        <v>235</v>
      </c>
      <c r="N159" s="1" t="s">
        <v>236</v>
      </c>
      <c r="O159" s="1" t="s">
        <v>430</v>
      </c>
      <c r="P159" s="1" t="s">
        <v>433</v>
      </c>
    </row>
    <row r="160" spans="7:16" ht="16.5" hidden="1" customHeight="1" outlineLevel="1" x14ac:dyDescent="0.25">
      <c r="G160" s="1" t="s">
        <v>321</v>
      </c>
      <c r="H160" s="1" t="s">
        <v>18</v>
      </c>
      <c r="I160" s="1" t="s">
        <v>14</v>
      </c>
      <c r="J160" s="1" t="s">
        <v>15</v>
      </c>
      <c r="L160" s="1" t="s">
        <v>78</v>
      </c>
      <c r="M160" s="1" t="s">
        <v>235</v>
      </c>
      <c r="N160" s="1" t="s">
        <v>236</v>
      </c>
      <c r="O160" s="1" t="s">
        <v>430</v>
      </c>
      <c r="P160" s="1" t="s">
        <v>433</v>
      </c>
    </row>
    <row r="161" spans="7:16" ht="16.5" hidden="1" customHeight="1" outlineLevel="1" x14ac:dyDescent="0.25">
      <c r="G161" s="1" t="s">
        <v>321</v>
      </c>
      <c r="H161" s="1" t="s">
        <v>18</v>
      </c>
      <c r="I161" s="1" t="s">
        <v>14</v>
      </c>
      <c r="J161" s="1" t="s">
        <v>15</v>
      </c>
      <c r="L161" s="1" t="s">
        <v>78</v>
      </c>
      <c r="M161" s="1" t="s">
        <v>235</v>
      </c>
      <c r="N161" s="1" t="s">
        <v>236</v>
      </c>
      <c r="O161" s="1" t="s">
        <v>430</v>
      </c>
      <c r="P161" s="1" t="s">
        <v>433</v>
      </c>
    </row>
    <row r="162" spans="7:16" ht="16.5" hidden="1" customHeight="1" outlineLevel="1" x14ac:dyDescent="0.25">
      <c r="G162" s="1" t="s">
        <v>321</v>
      </c>
      <c r="H162" s="1" t="s">
        <v>18</v>
      </c>
      <c r="I162" s="1" t="s">
        <v>14</v>
      </c>
      <c r="J162" s="1" t="s">
        <v>15</v>
      </c>
      <c r="L162" s="1" t="s">
        <v>78</v>
      </c>
      <c r="M162" s="1" t="s">
        <v>235</v>
      </c>
      <c r="N162" s="1" t="s">
        <v>236</v>
      </c>
      <c r="O162" s="1" t="s">
        <v>430</v>
      </c>
      <c r="P162" s="1" t="s">
        <v>433</v>
      </c>
    </row>
    <row r="163" spans="7:16" ht="16.5" hidden="1" customHeight="1" outlineLevel="1" x14ac:dyDescent="0.25">
      <c r="G163" s="1" t="s">
        <v>321</v>
      </c>
      <c r="H163" s="1" t="s">
        <v>18</v>
      </c>
      <c r="I163" s="1" t="s">
        <v>14</v>
      </c>
      <c r="J163" s="1" t="s">
        <v>15</v>
      </c>
      <c r="L163" s="1" t="s">
        <v>78</v>
      </c>
      <c r="M163" s="1" t="s">
        <v>235</v>
      </c>
      <c r="N163" s="1" t="s">
        <v>236</v>
      </c>
      <c r="O163" s="1" t="s">
        <v>430</v>
      </c>
      <c r="P163" s="1" t="s">
        <v>433</v>
      </c>
    </row>
    <row r="164" spans="7:16" ht="16.5" hidden="1" customHeight="1" outlineLevel="1" x14ac:dyDescent="0.25">
      <c r="G164" s="1" t="s">
        <v>321</v>
      </c>
      <c r="H164" s="1" t="s">
        <v>18</v>
      </c>
      <c r="I164" s="1" t="s">
        <v>14</v>
      </c>
      <c r="J164" s="1" t="s">
        <v>15</v>
      </c>
      <c r="L164" s="1" t="s">
        <v>78</v>
      </c>
      <c r="M164" s="1" t="s">
        <v>235</v>
      </c>
      <c r="N164" s="1" t="s">
        <v>236</v>
      </c>
      <c r="O164" s="1" t="s">
        <v>430</v>
      </c>
      <c r="P164" s="1" t="s">
        <v>433</v>
      </c>
    </row>
    <row r="165" spans="7:16" ht="16.5" hidden="1" customHeight="1" outlineLevel="1" x14ac:dyDescent="0.25">
      <c r="G165" s="1" t="s">
        <v>321</v>
      </c>
      <c r="H165" s="1" t="s">
        <v>18</v>
      </c>
      <c r="I165" s="1" t="s">
        <v>14</v>
      </c>
      <c r="J165" s="1" t="s">
        <v>15</v>
      </c>
      <c r="L165" s="1" t="s">
        <v>78</v>
      </c>
      <c r="M165" s="1" t="s">
        <v>235</v>
      </c>
      <c r="N165" s="1" t="s">
        <v>236</v>
      </c>
      <c r="O165" s="1" t="s">
        <v>430</v>
      </c>
      <c r="P165" s="1" t="s">
        <v>433</v>
      </c>
    </row>
    <row r="166" spans="7:16" ht="16.5" hidden="1" customHeight="1" outlineLevel="1" x14ac:dyDescent="0.25">
      <c r="G166" s="1" t="s">
        <v>321</v>
      </c>
      <c r="H166" s="1" t="s">
        <v>18</v>
      </c>
      <c r="I166" s="1" t="s">
        <v>14</v>
      </c>
      <c r="J166" s="1" t="s">
        <v>15</v>
      </c>
      <c r="L166" s="1" t="s">
        <v>78</v>
      </c>
      <c r="M166" s="1" t="s">
        <v>235</v>
      </c>
      <c r="N166" s="1" t="s">
        <v>236</v>
      </c>
      <c r="O166" s="1" t="s">
        <v>430</v>
      </c>
      <c r="P166" s="1" t="s">
        <v>433</v>
      </c>
    </row>
    <row r="167" spans="7:16" ht="16.5" hidden="1" customHeight="1" outlineLevel="1" x14ac:dyDescent="0.25">
      <c r="G167" s="1" t="s">
        <v>321</v>
      </c>
      <c r="H167" s="1" t="s">
        <v>18</v>
      </c>
      <c r="I167" s="1" t="s">
        <v>14</v>
      </c>
      <c r="J167" s="1" t="s">
        <v>15</v>
      </c>
      <c r="L167" s="1" t="s">
        <v>78</v>
      </c>
      <c r="M167" s="1" t="s">
        <v>235</v>
      </c>
      <c r="N167" s="1" t="s">
        <v>236</v>
      </c>
      <c r="O167" s="1" t="s">
        <v>430</v>
      </c>
      <c r="P167" s="1" t="s">
        <v>433</v>
      </c>
    </row>
    <row r="168" spans="7:16" ht="16.5" hidden="1" customHeight="1" outlineLevel="1" x14ac:dyDescent="0.25">
      <c r="G168" s="1" t="s">
        <v>321</v>
      </c>
      <c r="H168" s="1" t="s">
        <v>18</v>
      </c>
      <c r="I168" s="1" t="s">
        <v>14</v>
      </c>
      <c r="J168" s="1" t="s">
        <v>15</v>
      </c>
      <c r="L168" s="1" t="s">
        <v>78</v>
      </c>
      <c r="M168" s="1" t="s">
        <v>235</v>
      </c>
      <c r="N168" s="1" t="s">
        <v>236</v>
      </c>
      <c r="O168" s="1" t="s">
        <v>430</v>
      </c>
      <c r="P168" s="1" t="s">
        <v>433</v>
      </c>
    </row>
    <row r="169" spans="7:16" ht="16.5" hidden="1" customHeight="1" outlineLevel="1" x14ac:dyDescent="0.25">
      <c r="G169" s="1" t="s">
        <v>321</v>
      </c>
      <c r="H169" s="1" t="s">
        <v>18</v>
      </c>
      <c r="I169" s="1" t="s">
        <v>14</v>
      </c>
      <c r="J169" s="1" t="s">
        <v>15</v>
      </c>
      <c r="L169" s="1" t="s">
        <v>78</v>
      </c>
      <c r="M169" s="1" t="s">
        <v>235</v>
      </c>
      <c r="N169" s="1" t="s">
        <v>236</v>
      </c>
      <c r="O169" s="1" t="s">
        <v>430</v>
      </c>
      <c r="P169" s="1" t="s">
        <v>433</v>
      </c>
    </row>
    <row r="170" spans="7:16" ht="16.5" hidden="1" customHeight="1" outlineLevel="1" x14ac:dyDescent="0.25">
      <c r="G170" s="1" t="s">
        <v>321</v>
      </c>
      <c r="H170" s="1" t="s">
        <v>18</v>
      </c>
      <c r="I170" s="1" t="s">
        <v>14</v>
      </c>
      <c r="J170" s="1" t="s">
        <v>15</v>
      </c>
      <c r="L170" s="1" t="s">
        <v>78</v>
      </c>
      <c r="M170" s="1" t="s">
        <v>235</v>
      </c>
      <c r="N170" s="1" t="s">
        <v>236</v>
      </c>
      <c r="O170" s="1" t="s">
        <v>430</v>
      </c>
      <c r="P170" s="1" t="s">
        <v>433</v>
      </c>
    </row>
    <row r="171" spans="7:16" ht="16.5" hidden="1" customHeight="1" outlineLevel="1" x14ac:dyDescent="0.25">
      <c r="G171" s="1" t="s">
        <v>321</v>
      </c>
      <c r="H171" s="1" t="s">
        <v>18</v>
      </c>
      <c r="I171" s="1" t="s">
        <v>14</v>
      </c>
      <c r="J171" s="1" t="s">
        <v>15</v>
      </c>
      <c r="L171" s="1" t="s">
        <v>78</v>
      </c>
      <c r="M171" s="1" t="s">
        <v>235</v>
      </c>
      <c r="N171" s="1" t="s">
        <v>236</v>
      </c>
      <c r="O171" s="1" t="s">
        <v>430</v>
      </c>
      <c r="P171" s="1" t="s">
        <v>433</v>
      </c>
    </row>
    <row r="172" spans="7:16" ht="16.5" hidden="1" customHeight="1" outlineLevel="1" x14ac:dyDescent="0.25">
      <c r="G172" s="1" t="s">
        <v>321</v>
      </c>
      <c r="H172" s="1" t="s">
        <v>18</v>
      </c>
      <c r="I172" s="1" t="s">
        <v>14</v>
      </c>
      <c r="J172" s="1" t="s">
        <v>15</v>
      </c>
      <c r="L172" s="1" t="s">
        <v>78</v>
      </c>
      <c r="M172" s="1" t="s">
        <v>235</v>
      </c>
      <c r="N172" s="1" t="s">
        <v>236</v>
      </c>
      <c r="O172" s="1" t="s">
        <v>430</v>
      </c>
      <c r="P172" s="1" t="s">
        <v>433</v>
      </c>
    </row>
    <row r="173" spans="7:16" ht="16.5" hidden="1" customHeight="1" outlineLevel="1" x14ac:dyDescent="0.25">
      <c r="G173" s="1" t="s">
        <v>321</v>
      </c>
      <c r="H173" s="1" t="s">
        <v>18</v>
      </c>
      <c r="I173" s="1" t="s">
        <v>14</v>
      </c>
      <c r="J173" s="1" t="s">
        <v>15</v>
      </c>
      <c r="L173" s="1" t="s">
        <v>78</v>
      </c>
      <c r="M173" s="1" t="s">
        <v>235</v>
      </c>
      <c r="N173" s="1" t="s">
        <v>236</v>
      </c>
      <c r="O173" s="1" t="s">
        <v>430</v>
      </c>
      <c r="P173" s="1" t="s">
        <v>433</v>
      </c>
    </row>
    <row r="174" spans="7:16" ht="16.5" hidden="1" customHeight="1" outlineLevel="1" x14ac:dyDescent="0.25">
      <c r="G174" s="1" t="s">
        <v>321</v>
      </c>
      <c r="H174" s="1" t="s">
        <v>18</v>
      </c>
      <c r="I174" s="1" t="s">
        <v>14</v>
      </c>
      <c r="J174" s="1" t="s">
        <v>15</v>
      </c>
      <c r="L174" s="1" t="s">
        <v>78</v>
      </c>
      <c r="M174" s="1" t="s">
        <v>235</v>
      </c>
      <c r="N174" s="1" t="s">
        <v>236</v>
      </c>
      <c r="O174" s="1" t="s">
        <v>430</v>
      </c>
      <c r="P174" s="1" t="s">
        <v>433</v>
      </c>
    </row>
    <row r="175" spans="7:16" ht="16.5" hidden="1" customHeight="1" outlineLevel="1" x14ac:dyDescent="0.25">
      <c r="G175" s="1" t="s">
        <v>321</v>
      </c>
      <c r="H175" s="1" t="s">
        <v>18</v>
      </c>
      <c r="I175" s="1" t="s">
        <v>14</v>
      </c>
      <c r="J175" s="1" t="s">
        <v>15</v>
      </c>
      <c r="L175" s="1" t="s">
        <v>78</v>
      </c>
      <c r="M175" s="1" t="s">
        <v>235</v>
      </c>
      <c r="N175" s="1" t="s">
        <v>236</v>
      </c>
      <c r="O175" s="1" t="s">
        <v>430</v>
      </c>
      <c r="P175" s="1" t="s">
        <v>433</v>
      </c>
    </row>
    <row r="176" spans="7:16" ht="16.5" hidden="1" customHeight="1" outlineLevel="1" x14ac:dyDescent="0.25">
      <c r="G176" s="1" t="s">
        <v>321</v>
      </c>
      <c r="H176" s="1" t="s">
        <v>18</v>
      </c>
      <c r="I176" s="1" t="s">
        <v>14</v>
      </c>
      <c r="J176" s="1" t="s">
        <v>15</v>
      </c>
      <c r="L176" s="1" t="s">
        <v>78</v>
      </c>
      <c r="M176" s="1" t="s">
        <v>235</v>
      </c>
      <c r="N176" s="1" t="s">
        <v>236</v>
      </c>
      <c r="O176" s="1" t="s">
        <v>430</v>
      </c>
      <c r="P176" s="1" t="s">
        <v>433</v>
      </c>
    </row>
    <row r="177" spans="7:16" ht="16.5" hidden="1" customHeight="1" outlineLevel="1" x14ac:dyDescent="0.25">
      <c r="G177" s="1" t="s">
        <v>321</v>
      </c>
      <c r="H177" s="1" t="s">
        <v>18</v>
      </c>
      <c r="I177" s="1" t="s">
        <v>14</v>
      </c>
      <c r="J177" s="1" t="s">
        <v>15</v>
      </c>
      <c r="L177" s="1" t="s">
        <v>78</v>
      </c>
      <c r="M177" s="1" t="s">
        <v>235</v>
      </c>
      <c r="N177" s="1" t="s">
        <v>236</v>
      </c>
      <c r="O177" s="1" t="s">
        <v>430</v>
      </c>
      <c r="P177" s="1" t="s">
        <v>433</v>
      </c>
    </row>
    <row r="178" spans="7:16" ht="16.5" hidden="1" customHeight="1" outlineLevel="1" x14ac:dyDescent="0.25">
      <c r="G178" s="1" t="s">
        <v>321</v>
      </c>
      <c r="H178" s="1" t="s">
        <v>18</v>
      </c>
      <c r="I178" s="1" t="s">
        <v>14</v>
      </c>
      <c r="J178" s="1" t="s">
        <v>15</v>
      </c>
      <c r="L178" s="1" t="s">
        <v>78</v>
      </c>
      <c r="M178" s="1" t="s">
        <v>235</v>
      </c>
      <c r="N178" s="1" t="s">
        <v>236</v>
      </c>
      <c r="O178" s="1" t="s">
        <v>430</v>
      </c>
      <c r="P178" s="1" t="s">
        <v>433</v>
      </c>
    </row>
    <row r="179" spans="7:16" ht="16.5" hidden="1" customHeight="1" outlineLevel="1" x14ac:dyDescent="0.25">
      <c r="G179" s="1" t="s">
        <v>321</v>
      </c>
      <c r="H179" s="1" t="s">
        <v>18</v>
      </c>
      <c r="I179" s="1" t="s">
        <v>14</v>
      </c>
      <c r="J179" s="1" t="s">
        <v>15</v>
      </c>
      <c r="L179" s="1" t="s">
        <v>78</v>
      </c>
      <c r="M179" s="1" t="s">
        <v>235</v>
      </c>
      <c r="N179" s="1" t="s">
        <v>236</v>
      </c>
      <c r="O179" s="1" t="s">
        <v>430</v>
      </c>
      <c r="P179" s="1" t="s">
        <v>433</v>
      </c>
    </row>
    <row r="180" spans="7:16" ht="16.5" hidden="1" customHeight="1" outlineLevel="1" x14ac:dyDescent="0.25">
      <c r="G180" s="1" t="s">
        <v>321</v>
      </c>
      <c r="H180" s="1" t="s">
        <v>18</v>
      </c>
      <c r="I180" s="1" t="s">
        <v>14</v>
      </c>
      <c r="J180" s="1" t="s">
        <v>15</v>
      </c>
      <c r="L180" s="1" t="s">
        <v>78</v>
      </c>
      <c r="M180" s="1" t="s">
        <v>235</v>
      </c>
      <c r="N180" s="1" t="s">
        <v>236</v>
      </c>
      <c r="O180" s="1" t="s">
        <v>430</v>
      </c>
      <c r="P180" s="1" t="s">
        <v>433</v>
      </c>
    </row>
    <row r="181" spans="7:16" ht="16.5" hidden="1" customHeight="1" outlineLevel="1" x14ac:dyDescent="0.25">
      <c r="G181" s="1" t="s">
        <v>321</v>
      </c>
      <c r="H181" s="1" t="s">
        <v>18</v>
      </c>
      <c r="I181" s="1" t="s">
        <v>14</v>
      </c>
      <c r="J181" s="1" t="s">
        <v>15</v>
      </c>
      <c r="L181" s="1" t="s">
        <v>78</v>
      </c>
      <c r="M181" s="1" t="s">
        <v>235</v>
      </c>
      <c r="N181" s="1" t="s">
        <v>236</v>
      </c>
      <c r="O181" s="1" t="s">
        <v>430</v>
      </c>
      <c r="P181" s="1" t="s">
        <v>433</v>
      </c>
    </row>
    <row r="182" spans="7:16" ht="16.5" hidden="1" customHeight="1" outlineLevel="1" x14ac:dyDescent="0.25">
      <c r="G182" s="1" t="s">
        <v>321</v>
      </c>
      <c r="H182" s="1" t="s">
        <v>18</v>
      </c>
      <c r="I182" s="1" t="s">
        <v>14</v>
      </c>
      <c r="J182" s="1" t="s">
        <v>15</v>
      </c>
      <c r="L182" s="1" t="s">
        <v>78</v>
      </c>
      <c r="M182" s="1" t="s">
        <v>235</v>
      </c>
      <c r="N182" s="1" t="s">
        <v>236</v>
      </c>
      <c r="O182" s="1" t="s">
        <v>430</v>
      </c>
      <c r="P182" s="1" t="s">
        <v>433</v>
      </c>
    </row>
    <row r="183" spans="7:16" ht="16.5" hidden="1" customHeight="1" outlineLevel="1" x14ac:dyDescent="0.25">
      <c r="G183" s="1" t="s">
        <v>321</v>
      </c>
      <c r="H183" s="1" t="s">
        <v>18</v>
      </c>
      <c r="I183" s="1" t="s">
        <v>14</v>
      </c>
      <c r="J183" s="1" t="s">
        <v>15</v>
      </c>
      <c r="L183" s="1" t="s">
        <v>78</v>
      </c>
      <c r="M183" s="1" t="s">
        <v>235</v>
      </c>
      <c r="N183" s="1" t="s">
        <v>236</v>
      </c>
      <c r="O183" s="1" t="s">
        <v>430</v>
      </c>
      <c r="P183" s="1" t="s">
        <v>433</v>
      </c>
    </row>
    <row r="184" spans="7:16" ht="16.5" hidden="1" customHeight="1" outlineLevel="1" x14ac:dyDescent="0.25">
      <c r="G184" s="1" t="s">
        <v>321</v>
      </c>
      <c r="H184" s="1" t="s">
        <v>18</v>
      </c>
      <c r="I184" s="1" t="s">
        <v>14</v>
      </c>
      <c r="J184" s="1" t="s">
        <v>15</v>
      </c>
      <c r="L184" s="1" t="s">
        <v>78</v>
      </c>
      <c r="M184" s="1" t="s">
        <v>235</v>
      </c>
      <c r="N184" s="1" t="s">
        <v>236</v>
      </c>
      <c r="O184" s="1" t="s">
        <v>430</v>
      </c>
      <c r="P184" s="1" t="s">
        <v>433</v>
      </c>
    </row>
    <row r="185" spans="7:16" ht="16.5" hidden="1" customHeight="1" outlineLevel="1" x14ac:dyDescent="0.25">
      <c r="G185" s="1" t="s">
        <v>321</v>
      </c>
      <c r="H185" s="1" t="s">
        <v>18</v>
      </c>
      <c r="I185" s="1" t="s">
        <v>14</v>
      </c>
      <c r="J185" s="1" t="s">
        <v>15</v>
      </c>
      <c r="L185" s="1" t="s">
        <v>78</v>
      </c>
      <c r="M185" s="1" t="s">
        <v>235</v>
      </c>
      <c r="N185" s="1" t="s">
        <v>236</v>
      </c>
      <c r="O185" s="1" t="s">
        <v>430</v>
      </c>
      <c r="P185" s="1" t="s">
        <v>433</v>
      </c>
    </row>
    <row r="186" spans="7:16" ht="16.5" hidden="1" customHeight="1" outlineLevel="1" x14ac:dyDescent="0.25">
      <c r="G186" s="1" t="s">
        <v>321</v>
      </c>
      <c r="H186" s="1" t="s">
        <v>18</v>
      </c>
      <c r="I186" s="1" t="s">
        <v>14</v>
      </c>
      <c r="J186" s="1" t="s">
        <v>15</v>
      </c>
      <c r="L186" s="1" t="s">
        <v>78</v>
      </c>
      <c r="M186" s="1" t="s">
        <v>235</v>
      </c>
      <c r="N186" s="1" t="s">
        <v>236</v>
      </c>
      <c r="O186" s="1" t="s">
        <v>430</v>
      </c>
      <c r="P186" s="1" t="s">
        <v>433</v>
      </c>
    </row>
    <row r="187" spans="7:16" ht="16.5" hidden="1" customHeight="1" outlineLevel="1" x14ac:dyDescent="0.25">
      <c r="G187" s="1" t="s">
        <v>321</v>
      </c>
      <c r="H187" s="1" t="s">
        <v>18</v>
      </c>
      <c r="I187" s="1" t="s">
        <v>14</v>
      </c>
      <c r="J187" s="1" t="s">
        <v>15</v>
      </c>
      <c r="L187" s="1" t="s">
        <v>78</v>
      </c>
      <c r="M187" s="1" t="s">
        <v>235</v>
      </c>
      <c r="N187" s="1" t="s">
        <v>236</v>
      </c>
      <c r="O187" s="1" t="s">
        <v>430</v>
      </c>
      <c r="P187" s="1" t="s">
        <v>433</v>
      </c>
    </row>
    <row r="188" spans="7:16" ht="16.5" hidden="1" customHeight="1" outlineLevel="1" x14ac:dyDescent="0.25">
      <c r="G188" s="1" t="s">
        <v>321</v>
      </c>
      <c r="H188" s="1" t="s">
        <v>18</v>
      </c>
      <c r="I188" s="1" t="s">
        <v>14</v>
      </c>
      <c r="J188" s="1" t="s">
        <v>15</v>
      </c>
      <c r="L188" s="1" t="s">
        <v>78</v>
      </c>
      <c r="M188" s="1" t="s">
        <v>235</v>
      </c>
      <c r="N188" s="1" t="s">
        <v>236</v>
      </c>
      <c r="O188" s="1" t="s">
        <v>430</v>
      </c>
      <c r="P188" s="1" t="s">
        <v>433</v>
      </c>
    </row>
    <row r="189" spans="7:16" ht="16.5" hidden="1" customHeight="1" outlineLevel="1" x14ac:dyDescent="0.25">
      <c r="G189" s="1" t="s">
        <v>321</v>
      </c>
      <c r="H189" s="1" t="s">
        <v>18</v>
      </c>
      <c r="I189" s="1" t="s">
        <v>14</v>
      </c>
      <c r="J189" s="1" t="s">
        <v>15</v>
      </c>
      <c r="L189" s="1" t="s">
        <v>78</v>
      </c>
      <c r="M189" s="1" t="s">
        <v>235</v>
      </c>
      <c r="N189" s="1" t="s">
        <v>236</v>
      </c>
      <c r="O189" s="1" t="s">
        <v>430</v>
      </c>
      <c r="P189" s="1" t="s">
        <v>433</v>
      </c>
    </row>
    <row r="190" spans="7:16" ht="16.5" hidden="1" customHeight="1" outlineLevel="1" x14ac:dyDescent="0.25">
      <c r="G190" s="1" t="s">
        <v>321</v>
      </c>
      <c r="H190" s="1" t="s">
        <v>18</v>
      </c>
      <c r="I190" s="1" t="s">
        <v>14</v>
      </c>
      <c r="J190" s="1" t="s">
        <v>15</v>
      </c>
      <c r="L190" s="1" t="s">
        <v>78</v>
      </c>
      <c r="M190" s="1" t="s">
        <v>235</v>
      </c>
      <c r="N190" s="1" t="s">
        <v>236</v>
      </c>
      <c r="O190" s="1" t="s">
        <v>430</v>
      </c>
      <c r="P190" s="1" t="s">
        <v>433</v>
      </c>
    </row>
    <row r="191" spans="7:16" ht="16.5" hidden="1" customHeight="1" outlineLevel="1" x14ac:dyDescent="0.25">
      <c r="G191" s="1" t="s">
        <v>321</v>
      </c>
      <c r="H191" s="1" t="s">
        <v>18</v>
      </c>
      <c r="I191" s="1" t="s">
        <v>14</v>
      </c>
      <c r="J191" s="1" t="s">
        <v>15</v>
      </c>
      <c r="L191" s="1" t="s">
        <v>78</v>
      </c>
      <c r="M191" s="1" t="s">
        <v>235</v>
      </c>
      <c r="N191" s="1" t="s">
        <v>236</v>
      </c>
      <c r="O191" s="1" t="s">
        <v>430</v>
      </c>
      <c r="P191" s="1" t="s">
        <v>433</v>
      </c>
    </row>
    <row r="192" spans="7:16" ht="16.5" hidden="1" customHeight="1" outlineLevel="1" x14ac:dyDescent="0.25">
      <c r="G192" s="1" t="s">
        <v>321</v>
      </c>
      <c r="H192" s="1" t="s">
        <v>18</v>
      </c>
      <c r="I192" s="1" t="s">
        <v>14</v>
      </c>
      <c r="J192" s="1" t="s">
        <v>15</v>
      </c>
      <c r="L192" s="1" t="s">
        <v>78</v>
      </c>
      <c r="M192" s="1" t="s">
        <v>235</v>
      </c>
      <c r="N192" s="1" t="s">
        <v>236</v>
      </c>
      <c r="O192" s="1" t="s">
        <v>430</v>
      </c>
      <c r="P192" s="1" t="s">
        <v>433</v>
      </c>
    </row>
    <row r="193" spans="7:16" ht="16.5" hidden="1" customHeight="1" outlineLevel="1" x14ac:dyDescent="0.25">
      <c r="G193" s="1" t="s">
        <v>321</v>
      </c>
      <c r="H193" s="1" t="s">
        <v>18</v>
      </c>
      <c r="I193" s="1" t="s">
        <v>14</v>
      </c>
      <c r="J193" s="1" t="s">
        <v>15</v>
      </c>
      <c r="L193" s="1" t="s">
        <v>78</v>
      </c>
      <c r="M193" s="1" t="s">
        <v>235</v>
      </c>
      <c r="N193" s="1" t="s">
        <v>236</v>
      </c>
      <c r="O193" s="1" t="s">
        <v>430</v>
      </c>
      <c r="P193" s="1" t="s">
        <v>433</v>
      </c>
    </row>
    <row r="194" spans="7:16" ht="16.5" hidden="1" customHeight="1" outlineLevel="1" x14ac:dyDescent="0.25">
      <c r="G194" s="1" t="s">
        <v>321</v>
      </c>
      <c r="H194" s="1" t="s">
        <v>18</v>
      </c>
      <c r="I194" s="1" t="s">
        <v>14</v>
      </c>
      <c r="J194" s="1" t="s">
        <v>15</v>
      </c>
      <c r="L194" s="1" t="s">
        <v>78</v>
      </c>
      <c r="M194" s="1" t="s">
        <v>235</v>
      </c>
      <c r="N194" s="1" t="s">
        <v>236</v>
      </c>
      <c r="O194" s="1" t="s">
        <v>430</v>
      </c>
      <c r="P194" s="1" t="s">
        <v>433</v>
      </c>
    </row>
    <row r="195" spans="7:16" ht="16.5" hidden="1" customHeight="1" outlineLevel="1" x14ac:dyDescent="0.25">
      <c r="G195" s="1" t="s">
        <v>321</v>
      </c>
      <c r="H195" s="1" t="s">
        <v>18</v>
      </c>
      <c r="I195" s="1" t="s">
        <v>14</v>
      </c>
      <c r="J195" s="1" t="s">
        <v>15</v>
      </c>
      <c r="L195" s="1" t="s">
        <v>78</v>
      </c>
      <c r="M195" s="1" t="s">
        <v>235</v>
      </c>
      <c r="N195" s="1" t="s">
        <v>236</v>
      </c>
      <c r="O195" s="1" t="s">
        <v>430</v>
      </c>
      <c r="P195" s="1" t="s">
        <v>433</v>
      </c>
    </row>
    <row r="196" spans="7:16" ht="16.5" hidden="1" customHeight="1" outlineLevel="1" x14ac:dyDescent="0.25">
      <c r="G196" s="1" t="s">
        <v>321</v>
      </c>
      <c r="H196" s="1" t="s">
        <v>18</v>
      </c>
      <c r="I196" s="1" t="s">
        <v>14</v>
      </c>
      <c r="J196" s="1" t="s">
        <v>15</v>
      </c>
      <c r="L196" s="1" t="s">
        <v>78</v>
      </c>
      <c r="M196" s="1" t="s">
        <v>235</v>
      </c>
      <c r="N196" s="1" t="s">
        <v>236</v>
      </c>
      <c r="O196" s="1" t="s">
        <v>430</v>
      </c>
      <c r="P196" s="1" t="s">
        <v>433</v>
      </c>
    </row>
    <row r="197" spans="7:16" ht="16.5" hidden="1" customHeight="1" outlineLevel="1" x14ac:dyDescent="0.25">
      <c r="G197" s="1" t="s">
        <v>321</v>
      </c>
      <c r="H197" s="1" t="s">
        <v>18</v>
      </c>
      <c r="I197" s="1" t="s">
        <v>14</v>
      </c>
      <c r="J197" s="1" t="s">
        <v>15</v>
      </c>
      <c r="L197" s="1" t="s">
        <v>78</v>
      </c>
      <c r="M197" s="1" t="s">
        <v>235</v>
      </c>
      <c r="N197" s="1" t="s">
        <v>236</v>
      </c>
      <c r="O197" s="1" t="s">
        <v>430</v>
      </c>
      <c r="P197" s="1" t="s">
        <v>433</v>
      </c>
    </row>
    <row r="198" spans="7:16" ht="16.5" hidden="1" customHeight="1" outlineLevel="1" x14ac:dyDescent="0.25">
      <c r="G198" s="1" t="s">
        <v>321</v>
      </c>
      <c r="H198" s="1" t="s">
        <v>18</v>
      </c>
      <c r="I198" s="1" t="s">
        <v>14</v>
      </c>
      <c r="J198" s="1" t="s">
        <v>15</v>
      </c>
      <c r="L198" s="1" t="s">
        <v>78</v>
      </c>
      <c r="M198" s="1" t="s">
        <v>235</v>
      </c>
      <c r="N198" s="1" t="s">
        <v>236</v>
      </c>
      <c r="O198" s="1" t="s">
        <v>430</v>
      </c>
      <c r="P198" s="1" t="s">
        <v>433</v>
      </c>
    </row>
    <row r="199" spans="7:16" ht="16.5" hidden="1" customHeight="1" outlineLevel="1" x14ac:dyDescent="0.25">
      <c r="G199" s="1" t="s">
        <v>321</v>
      </c>
      <c r="H199" s="1" t="s">
        <v>18</v>
      </c>
      <c r="I199" s="1" t="s">
        <v>14</v>
      </c>
      <c r="J199" s="1" t="s">
        <v>15</v>
      </c>
      <c r="L199" s="1" t="s">
        <v>78</v>
      </c>
      <c r="M199" s="1" t="s">
        <v>235</v>
      </c>
      <c r="N199" s="1" t="s">
        <v>236</v>
      </c>
      <c r="O199" s="1" t="s">
        <v>430</v>
      </c>
      <c r="P199" s="1" t="s">
        <v>433</v>
      </c>
    </row>
    <row r="200" spans="7:16" hidden="1" outlineLevel="1" x14ac:dyDescent="0.25">
      <c r="G200" s="1" t="s">
        <v>321</v>
      </c>
      <c r="H200" s="1" t="s">
        <v>18</v>
      </c>
      <c r="I200" s="1" t="s">
        <v>14</v>
      </c>
      <c r="J200" s="1" t="s">
        <v>15</v>
      </c>
      <c r="L200" s="1" t="s">
        <v>78</v>
      </c>
      <c r="M200" s="1" t="s">
        <v>235</v>
      </c>
      <c r="N200" s="1" t="s">
        <v>236</v>
      </c>
      <c r="O200" s="1" t="s">
        <v>430</v>
      </c>
      <c r="P200" s="1" t="s">
        <v>433</v>
      </c>
    </row>
    <row r="201" spans="7:16" hidden="1" outlineLevel="1" x14ac:dyDescent="0.25">
      <c r="G201" s="1" t="s">
        <v>321</v>
      </c>
      <c r="H201" s="1" t="s">
        <v>18</v>
      </c>
      <c r="I201" s="1" t="s">
        <v>14</v>
      </c>
      <c r="J201" s="1" t="s">
        <v>15</v>
      </c>
      <c r="L201" s="1" t="s">
        <v>78</v>
      </c>
      <c r="M201" s="1" t="s">
        <v>235</v>
      </c>
      <c r="N201" s="1" t="s">
        <v>236</v>
      </c>
      <c r="O201" s="1" t="s">
        <v>430</v>
      </c>
      <c r="P201" s="1" t="s">
        <v>433</v>
      </c>
    </row>
    <row r="202" spans="7:16" hidden="1" outlineLevel="1" x14ac:dyDescent="0.25">
      <c r="G202" s="1" t="s">
        <v>321</v>
      </c>
      <c r="H202" s="1" t="s">
        <v>18</v>
      </c>
      <c r="I202" s="1" t="s">
        <v>14</v>
      </c>
      <c r="J202" s="1" t="s">
        <v>15</v>
      </c>
      <c r="L202" s="1" t="s">
        <v>78</v>
      </c>
      <c r="M202" s="1" t="s">
        <v>235</v>
      </c>
      <c r="N202" s="1" t="s">
        <v>236</v>
      </c>
      <c r="O202" s="1" t="s">
        <v>430</v>
      </c>
      <c r="P202" s="1" t="s">
        <v>433</v>
      </c>
    </row>
    <row r="203" spans="7:16" hidden="1" outlineLevel="1" x14ac:dyDescent="0.25">
      <c r="G203" s="1" t="s">
        <v>321</v>
      </c>
      <c r="H203" s="1" t="s">
        <v>18</v>
      </c>
      <c r="I203" s="1" t="s">
        <v>14</v>
      </c>
      <c r="J203" s="1" t="s">
        <v>15</v>
      </c>
      <c r="L203" s="1" t="s">
        <v>78</v>
      </c>
      <c r="M203" s="1" t="s">
        <v>235</v>
      </c>
      <c r="N203" s="1" t="s">
        <v>236</v>
      </c>
      <c r="O203" s="1" t="s">
        <v>430</v>
      </c>
      <c r="P203" s="1" t="s">
        <v>433</v>
      </c>
    </row>
    <row r="204" spans="7:16" hidden="1" outlineLevel="1" x14ac:dyDescent="0.25">
      <c r="G204" s="1" t="s">
        <v>321</v>
      </c>
      <c r="H204" s="1" t="s">
        <v>18</v>
      </c>
      <c r="I204" s="1" t="s">
        <v>14</v>
      </c>
      <c r="J204" s="1" t="s">
        <v>15</v>
      </c>
      <c r="L204" s="1" t="s">
        <v>78</v>
      </c>
      <c r="M204" s="1" t="s">
        <v>235</v>
      </c>
      <c r="N204" s="1" t="s">
        <v>236</v>
      </c>
      <c r="O204" s="1" t="s">
        <v>430</v>
      </c>
      <c r="P204" s="1" t="s">
        <v>433</v>
      </c>
    </row>
    <row r="205" spans="7:16" hidden="1" outlineLevel="1" x14ac:dyDescent="0.25">
      <c r="G205" s="1" t="s">
        <v>321</v>
      </c>
      <c r="H205" s="1" t="s">
        <v>18</v>
      </c>
      <c r="I205" s="1" t="s">
        <v>14</v>
      </c>
      <c r="J205" s="1" t="s">
        <v>15</v>
      </c>
      <c r="L205" s="1" t="s">
        <v>78</v>
      </c>
      <c r="M205" s="1" t="s">
        <v>235</v>
      </c>
      <c r="N205" s="1" t="s">
        <v>236</v>
      </c>
      <c r="O205" s="1" t="s">
        <v>430</v>
      </c>
      <c r="P205" s="1" t="s">
        <v>433</v>
      </c>
    </row>
    <row r="206" spans="7:16" hidden="1" outlineLevel="1" x14ac:dyDescent="0.25">
      <c r="G206" s="1" t="s">
        <v>321</v>
      </c>
      <c r="H206" s="1" t="s">
        <v>18</v>
      </c>
      <c r="I206" s="1" t="s">
        <v>14</v>
      </c>
      <c r="J206" s="1" t="s">
        <v>15</v>
      </c>
      <c r="L206" s="1" t="s">
        <v>78</v>
      </c>
      <c r="M206" s="1" t="s">
        <v>235</v>
      </c>
      <c r="N206" s="1" t="s">
        <v>236</v>
      </c>
      <c r="O206" s="1" t="s">
        <v>430</v>
      </c>
      <c r="P206" s="1" t="s">
        <v>433</v>
      </c>
    </row>
    <row r="207" spans="7:16" hidden="1" outlineLevel="1" x14ac:dyDescent="0.25">
      <c r="G207" s="1" t="s">
        <v>321</v>
      </c>
      <c r="H207" s="1" t="s">
        <v>18</v>
      </c>
      <c r="I207" s="1" t="s">
        <v>14</v>
      </c>
      <c r="J207" s="1" t="s">
        <v>15</v>
      </c>
      <c r="L207" s="1" t="s">
        <v>78</v>
      </c>
      <c r="M207" s="1" t="s">
        <v>235</v>
      </c>
      <c r="N207" s="1" t="s">
        <v>236</v>
      </c>
      <c r="O207" s="1" t="s">
        <v>430</v>
      </c>
      <c r="P207" s="1" t="s">
        <v>433</v>
      </c>
    </row>
    <row r="208" spans="7:16" hidden="1" outlineLevel="1" x14ac:dyDescent="0.25">
      <c r="G208" s="1" t="s">
        <v>321</v>
      </c>
      <c r="H208" s="1" t="s">
        <v>18</v>
      </c>
      <c r="I208" s="1" t="s">
        <v>14</v>
      </c>
      <c r="J208" s="1" t="s">
        <v>15</v>
      </c>
      <c r="L208" s="1" t="s">
        <v>78</v>
      </c>
      <c r="M208" s="1" t="s">
        <v>235</v>
      </c>
      <c r="N208" s="1" t="s">
        <v>236</v>
      </c>
      <c r="O208" s="1" t="s">
        <v>430</v>
      </c>
      <c r="P208" s="1" t="s">
        <v>433</v>
      </c>
    </row>
    <row r="209" spans="7:16" hidden="1" outlineLevel="1" x14ac:dyDescent="0.25">
      <c r="G209" s="1" t="s">
        <v>321</v>
      </c>
      <c r="H209" s="1" t="s">
        <v>18</v>
      </c>
      <c r="I209" s="1" t="s">
        <v>14</v>
      </c>
      <c r="J209" s="1" t="s">
        <v>15</v>
      </c>
      <c r="L209" s="1" t="s">
        <v>78</v>
      </c>
      <c r="M209" s="1" t="s">
        <v>235</v>
      </c>
      <c r="N209" s="1" t="s">
        <v>236</v>
      </c>
      <c r="O209" s="1" t="s">
        <v>430</v>
      </c>
      <c r="P209" s="1" t="s">
        <v>433</v>
      </c>
    </row>
    <row r="210" spans="7:16" hidden="1" outlineLevel="1" x14ac:dyDescent="0.25">
      <c r="G210" s="1" t="s">
        <v>321</v>
      </c>
      <c r="H210" s="1" t="s">
        <v>18</v>
      </c>
      <c r="I210" s="1" t="s">
        <v>14</v>
      </c>
      <c r="J210" s="1" t="s">
        <v>15</v>
      </c>
      <c r="L210" s="1" t="s">
        <v>78</v>
      </c>
      <c r="M210" s="1" t="s">
        <v>235</v>
      </c>
      <c r="N210" s="1" t="s">
        <v>236</v>
      </c>
      <c r="O210" s="1" t="s">
        <v>430</v>
      </c>
      <c r="P210" s="1" t="s">
        <v>433</v>
      </c>
    </row>
    <row r="211" spans="7:16" hidden="1" outlineLevel="1" x14ac:dyDescent="0.25">
      <c r="G211" s="1" t="s">
        <v>321</v>
      </c>
      <c r="H211" s="1" t="s">
        <v>18</v>
      </c>
      <c r="I211" s="1" t="s">
        <v>14</v>
      </c>
      <c r="J211" s="1" t="s">
        <v>15</v>
      </c>
      <c r="L211" s="1" t="s">
        <v>78</v>
      </c>
      <c r="M211" s="1" t="s">
        <v>235</v>
      </c>
      <c r="N211" s="1" t="s">
        <v>236</v>
      </c>
      <c r="O211" s="1" t="s">
        <v>430</v>
      </c>
      <c r="P211" s="1" t="s">
        <v>433</v>
      </c>
    </row>
    <row r="212" spans="7:16" hidden="1" outlineLevel="1" x14ac:dyDescent="0.25">
      <c r="G212" s="1" t="s">
        <v>321</v>
      </c>
      <c r="H212" s="1" t="s">
        <v>18</v>
      </c>
      <c r="I212" s="1" t="s">
        <v>14</v>
      </c>
      <c r="J212" s="1" t="s">
        <v>15</v>
      </c>
      <c r="L212" s="1" t="s">
        <v>78</v>
      </c>
      <c r="M212" s="1" t="s">
        <v>235</v>
      </c>
      <c r="N212" s="1" t="s">
        <v>236</v>
      </c>
      <c r="O212" s="1" t="s">
        <v>430</v>
      </c>
      <c r="P212" s="1" t="s">
        <v>433</v>
      </c>
    </row>
    <row r="213" spans="7:16" hidden="1" outlineLevel="1" x14ac:dyDescent="0.25">
      <c r="G213" s="1" t="s">
        <v>321</v>
      </c>
      <c r="H213" s="1" t="s">
        <v>18</v>
      </c>
      <c r="I213" s="1" t="s">
        <v>14</v>
      </c>
      <c r="J213" s="1" t="s">
        <v>15</v>
      </c>
      <c r="L213" s="1" t="s">
        <v>78</v>
      </c>
      <c r="M213" s="1" t="s">
        <v>235</v>
      </c>
      <c r="N213" s="1" t="s">
        <v>236</v>
      </c>
      <c r="O213" s="1" t="s">
        <v>430</v>
      </c>
      <c r="P213" s="1" t="s">
        <v>433</v>
      </c>
    </row>
    <row r="214" spans="7:16" hidden="1" outlineLevel="1" x14ac:dyDescent="0.25">
      <c r="G214" s="1" t="s">
        <v>321</v>
      </c>
      <c r="H214" s="1" t="s">
        <v>18</v>
      </c>
      <c r="I214" s="1" t="s">
        <v>14</v>
      </c>
      <c r="J214" s="1" t="s">
        <v>15</v>
      </c>
      <c r="L214" s="1" t="s">
        <v>78</v>
      </c>
      <c r="M214" s="1" t="s">
        <v>235</v>
      </c>
      <c r="N214" s="1" t="s">
        <v>236</v>
      </c>
      <c r="O214" s="1" t="s">
        <v>430</v>
      </c>
      <c r="P214" s="1" t="s">
        <v>433</v>
      </c>
    </row>
    <row r="215" spans="7:16" hidden="1" outlineLevel="1" x14ac:dyDescent="0.25">
      <c r="G215" s="1" t="s">
        <v>321</v>
      </c>
      <c r="H215" s="1" t="s">
        <v>18</v>
      </c>
      <c r="I215" s="1" t="s">
        <v>14</v>
      </c>
      <c r="J215" s="1" t="s">
        <v>15</v>
      </c>
      <c r="L215" s="1" t="s">
        <v>78</v>
      </c>
      <c r="M215" s="1" t="s">
        <v>235</v>
      </c>
      <c r="N215" s="1" t="s">
        <v>236</v>
      </c>
      <c r="O215" s="1" t="s">
        <v>430</v>
      </c>
      <c r="P215" s="1" t="s">
        <v>433</v>
      </c>
    </row>
    <row r="216" spans="7:16" hidden="1" outlineLevel="1" x14ac:dyDescent="0.25">
      <c r="G216" s="1" t="s">
        <v>321</v>
      </c>
      <c r="H216" s="1" t="s">
        <v>18</v>
      </c>
      <c r="I216" s="1" t="s">
        <v>14</v>
      </c>
      <c r="J216" s="1" t="s">
        <v>15</v>
      </c>
      <c r="L216" s="1" t="s">
        <v>78</v>
      </c>
      <c r="M216" s="1" t="s">
        <v>235</v>
      </c>
      <c r="N216" s="1" t="s">
        <v>236</v>
      </c>
      <c r="O216" s="1" t="s">
        <v>430</v>
      </c>
      <c r="P216" s="1" t="s">
        <v>433</v>
      </c>
    </row>
    <row r="217" spans="7:16" hidden="1" outlineLevel="1" x14ac:dyDescent="0.25">
      <c r="G217" s="1" t="s">
        <v>321</v>
      </c>
      <c r="H217" s="1" t="s">
        <v>18</v>
      </c>
      <c r="I217" s="1" t="s">
        <v>14</v>
      </c>
      <c r="J217" s="1" t="s">
        <v>15</v>
      </c>
      <c r="L217" s="1" t="s">
        <v>78</v>
      </c>
      <c r="M217" s="1" t="s">
        <v>235</v>
      </c>
      <c r="N217" s="1" t="s">
        <v>236</v>
      </c>
      <c r="O217" s="1" t="s">
        <v>430</v>
      </c>
      <c r="P217" s="1" t="s">
        <v>433</v>
      </c>
    </row>
    <row r="218" spans="7:16" hidden="1" outlineLevel="1" x14ac:dyDescent="0.25"/>
    <row r="219" spans="7:16" hidden="1" outlineLevel="1" x14ac:dyDescent="0.25"/>
    <row r="220" spans="7:16" hidden="1" outlineLevel="1" x14ac:dyDescent="0.25"/>
    <row r="221" spans="7:16" hidden="1" outlineLevel="1" x14ac:dyDescent="0.25">
      <c r="G221" s="1" t="s">
        <v>336</v>
      </c>
    </row>
    <row r="222" spans="7:16" hidden="1" outlineLevel="1" x14ac:dyDescent="0.25">
      <c r="G222" s="1" t="s">
        <v>321</v>
      </c>
      <c r="H222" s="1" t="s">
        <v>18</v>
      </c>
      <c r="I222" s="1" t="s">
        <v>14</v>
      </c>
      <c r="J222" s="1" t="s">
        <v>15</v>
      </c>
      <c r="L222" s="1" t="s">
        <v>78</v>
      </c>
      <c r="M222" s="1" t="s">
        <v>235</v>
      </c>
      <c r="N222" s="1" t="s">
        <v>236</v>
      </c>
      <c r="O222" s="1" t="s">
        <v>430</v>
      </c>
      <c r="P222" s="1" t="s">
        <v>433</v>
      </c>
    </row>
    <row r="223" spans="7:16" hidden="1" outlineLevel="1" x14ac:dyDescent="0.25">
      <c r="G223" s="1" t="s">
        <v>321</v>
      </c>
      <c r="H223" s="1" t="s">
        <v>18</v>
      </c>
      <c r="I223" s="1" t="s">
        <v>14</v>
      </c>
      <c r="J223" s="1" t="s">
        <v>15</v>
      </c>
      <c r="L223" s="1" t="s">
        <v>78</v>
      </c>
      <c r="M223" s="1" t="s">
        <v>235</v>
      </c>
      <c r="N223" s="1" t="s">
        <v>236</v>
      </c>
      <c r="O223" s="1" t="s">
        <v>430</v>
      </c>
      <c r="P223" s="1" t="s">
        <v>433</v>
      </c>
    </row>
    <row r="224" spans="7:16" hidden="1" outlineLevel="1" x14ac:dyDescent="0.25">
      <c r="G224" s="1" t="s">
        <v>321</v>
      </c>
      <c r="H224" s="1" t="s">
        <v>18</v>
      </c>
      <c r="I224" s="1" t="s">
        <v>14</v>
      </c>
      <c r="J224" s="1" t="s">
        <v>15</v>
      </c>
      <c r="L224" s="1" t="s">
        <v>78</v>
      </c>
      <c r="M224" s="1" t="s">
        <v>235</v>
      </c>
      <c r="N224" s="1" t="s">
        <v>236</v>
      </c>
      <c r="O224" s="1" t="s">
        <v>430</v>
      </c>
      <c r="P224" s="1" t="s">
        <v>433</v>
      </c>
    </row>
    <row r="225" spans="7:16" hidden="1" outlineLevel="1" x14ac:dyDescent="0.25">
      <c r="G225" s="1" t="s">
        <v>321</v>
      </c>
      <c r="H225" s="1" t="s">
        <v>18</v>
      </c>
      <c r="I225" s="1" t="s">
        <v>14</v>
      </c>
      <c r="J225" s="1" t="s">
        <v>15</v>
      </c>
      <c r="L225" s="1" t="s">
        <v>78</v>
      </c>
      <c r="M225" s="1" t="s">
        <v>235</v>
      </c>
      <c r="N225" s="1" t="s">
        <v>236</v>
      </c>
      <c r="O225" s="1" t="s">
        <v>430</v>
      </c>
      <c r="P225" s="1" t="s">
        <v>433</v>
      </c>
    </row>
    <row r="226" spans="7:16" hidden="1" outlineLevel="1" x14ac:dyDescent="0.25">
      <c r="G226" s="1" t="s">
        <v>321</v>
      </c>
      <c r="H226" s="1" t="s">
        <v>18</v>
      </c>
      <c r="I226" s="1" t="s">
        <v>14</v>
      </c>
      <c r="J226" s="1" t="s">
        <v>15</v>
      </c>
      <c r="L226" s="1" t="s">
        <v>78</v>
      </c>
      <c r="M226" s="1" t="s">
        <v>235</v>
      </c>
      <c r="N226" s="1" t="s">
        <v>236</v>
      </c>
      <c r="O226" s="1" t="s">
        <v>430</v>
      </c>
      <c r="P226" s="1" t="s">
        <v>433</v>
      </c>
    </row>
    <row r="227" spans="7:16" hidden="1" outlineLevel="1" x14ac:dyDescent="0.25">
      <c r="G227" s="1" t="s">
        <v>321</v>
      </c>
      <c r="H227" s="1" t="s">
        <v>18</v>
      </c>
      <c r="I227" s="1" t="s">
        <v>14</v>
      </c>
      <c r="J227" s="1" t="s">
        <v>15</v>
      </c>
      <c r="L227" s="1" t="s">
        <v>78</v>
      </c>
      <c r="M227" s="1" t="s">
        <v>235</v>
      </c>
      <c r="N227" s="1" t="s">
        <v>236</v>
      </c>
      <c r="O227" s="1" t="s">
        <v>430</v>
      </c>
      <c r="P227" s="1" t="s">
        <v>433</v>
      </c>
    </row>
    <row r="228" spans="7:16" hidden="1" outlineLevel="1" x14ac:dyDescent="0.25">
      <c r="G228" s="1" t="s">
        <v>321</v>
      </c>
      <c r="H228" s="1" t="s">
        <v>18</v>
      </c>
      <c r="I228" s="1" t="s">
        <v>14</v>
      </c>
      <c r="J228" s="1" t="s">
        <v>15</v>
      </c>
      <c r="L228" s="1" t="s">
        <v>78</v>
      </c>
      <c r="M228" s="1" t="s">
        <v>235</v>
      </c>
      <c r="N228" s="1" t="s">
        <v>236</v>
      </c>
      <c r="O228" s="1" t="s">
        <v>430</v>
      </c>
      <c r="P228" s="1" t="s">
        <v>433</v>
      </c>
    </row>
    <row r="229" spans="7:16" hidden="1" outlineLevel="1" x14ac:dyDescent="0.25">
      <c r="G229" s="1" t="s">
        <v>321</v>
      </c>
      <c r="H229" s="1" t="s">
        <v>18</v>
      </c>
      <c r="I229" s="1" t="s">
        <v>14</v>
      </c>
      <c r="J229" s="1" t="s">
        <v>15</v>
      </c>
      <c r="L229" s="1" t="s">
        <v>78</v>
      </c>
      <c r="M229" s="1" t="s">
        <v>235</v>
      </c>
      <c r="N229" s="1" t="s">
        <v>236</v>
      </c>
      <c r="O229" s="1" t="s">
        <v>430</v>
      </c>
      <c r="P229" s="1" t="s">
        <v>433</v>
      </c>
    </row>
    <row r="230" spans="7:16" hidden="1" outlineLevel="1" x14ac:dyDescent="0.25">
      <c r="G230" s="1" t="s">
        <v>321</v>
      </c>
      <c r="H230" s="1" t="s">
        <v>18</v>
      </c>
      <c r="I230" s="1" t="s">
        <v>14</v>
      </c>
      <c r="J230" s="1" t="s">
        <v>15</v>
      </c>
      <c r="L230" s="1" t="s">
        <v>78</v>
      </c>
      <c r="M230" s="1" t="s">
        <v>235</v>
      </c>
      <c r="N230" s="1" t="s">
        <v>236</v>
      </c>
      <c r="O230" s="1" t="s">
        <v>430</v>
      </c>
      <c r="P230" s="1" t="s">
        <v>433</v>
      </c>
    </row>
    <row r="231" spans="7:16" hidden="1" outlineLevel="1" x14ac:dyDescent="0.25">
      <c r="G231" s="1" t="s">
        <v>321</v>
      </c>
      <c r="H231" s="1" t="s">
        <v>18</v>
      </c>
      <c r="I231" s="1" t="s">
        <v>14</v>
      </c>
      <c r="J231" s="1" t="s">
        <v>15</v>
      </c>
      <c r="L231" s="1" t="s">
        <v>78</v>
      </c>
      <c r="M231" s="1" t="s">
        <v>235</v>
      </c>
      <c r="N231" s="1" t="s">
        <v>236</v>
      </c>
      <c r="O231" s="1" t="s">
        <v>430</v>
      </c>
      <c r="P231" s="1" t="s">
        <v>433</v>
      </c>
    </row>
    <row r="232" spans="7:16" hidden="1" outlineLevel="1" x14ac:dyDescent="0.25">
      <c r="G232" s="1" t="s">
        <v>323</v>
      </c>
      <c r="H232" s="1" t="s">
        <v>18</v>
      </c>
      <c r="I232" s="1" t="s">
        <v>14</v>
      </c>
      <c r="J232" s="1" t="s">
        <v>15</v>
      </c>
      <c r="L232" s="1" t="s">
        <v>78</v>
      </c>
      <c r="M232" s="1" t="s">
        <v>235</v>
      </c>
      <c r="N232" s="1" t="s">
        <v>236</v>
      </c>
      <c r="O232" s="1" t="s">
        <v>430</v>
      </c>
      <c r="P232" s="1" t="s">
        <v>433</v>
      </c>
    </row>
    <row r="233" spans="7:16" hidden="1" outlineLevel="1" x14ac:dyDescent="0.25">
      <c r="G233" s="1" t="s">
        <v>323</v>
      </c>
      <c r="H233" s="1" t="s">
        <v>18</v>
      </c>
      <c r="I233" s="1" t="s">
        <v>14</v>
      </c>
      <c r="J233" s="1" t="s">
        <v>15</v>
      </c>
      <c r="L233" s="1" t="s">
        <v>78</v>
      </c>
      <c r="M233" s="1" t="s">
        <v>235</v>
      </c>
      <c r="N233" s="1" t="s">
        <v>236</v>
      </c>
      <c r="O233" s="1" t="s">
        <v>430</v>
      </c>
      <c r="P233" s="1" t="s">
        <v>433</v>
      </c>
    </row>
    <row r="234" spans="7:16" hidden="1" outlineLevel="1" x14ac:dyDescent="0.25">
      <c r="G234" s="1" t="s">
        <v>321</v>
      </c>
      <c r="H234" s="1" t="s">
        <v>18</v>
      </c>
      <c r="I234" s="1" t="s">
        <v>14</v>
      </c>
      <c r="J234" s="1" t="s">
        <v>15</v>
      </c>
      <c r="L234" s="1" t="s">
        <v>78</v>
      </c>
      <c r="M234" s="1" t="s">
        <v>235</v>
      </c>
      <c r="N234" s="1" t="s">
        <v>236</v>
      </c>
      <c r="O234" s="1" t="s">
        <v>430</v>
      </c>
      <c r="P234" s="1" t="s">
        <v>433</v>
      </c>
    </row>
    <row r="235" spans="7:16" hidden="1" outlineLevel="1" x14ac:dyDescent="0.25">
      <c r="G235" s="1" t="s">
        <v>321</v>
      </c>
      <c r="H235" s="1" t="s">
        <v>18</v>
      </c>
      <c r="I235" s="1" t="s">
        <v>14</v>
      </c>
      <c r="J235" s="1" t="s">
        <v>15</v>
      </c>
      <c r="L235" s="1" t="s">
        <v>78</v>
      </c>
      <c r="M235" s="1" t="s">
        <v>235</v>
      </c>
      <c r="N235" s="1" t="s">
        <v>236</v>
      </c>
      <c r="O235" s="1" t="s">
        <v>430</v>
      </c>
      <c r="P235" s="1" t="s">
        <v>433</v>
      </c>
    </row>
    <row r="236" spans="7:16" hidden="1" outlineLevel="1" x14ac:dyDescent="0.25">
      <c r="G236" s="1" t="s">
        <v>323</v>
      </c>
      <c r="H236" s="1" t="s">
        <v>18</v>
      </c>
      <c r="I236" s="1" t="s">
        <v>14</v>
      </c>
      <c r="J236" s="1" t="s">
        <v>15</v>
      </c>
      <c r="L236" s="1" t="s">
        <v>78</v>
      </c>
      <c r="M236" s="1" t="s">
        <v>235</v>
      </c>
      <c r="N236" s="1" t="s">
        <v>236</v>
      </c>
      <c r="O236" s="1" t="s">
        <v>430</v>
      </c>
      <c r="P236" s="1" t="s">
        <v>433</v>
      </c>
    </row>
    <row r="237" spans="7:16" hidden="1" outlineLevel="1" x14ac:dyDescent="0.25">
      <c r="G237" s="1" t="s">
        <v>321</v>
      </c>
      <c r="H237" s="1" t="s">
        <v>18</v>
      </c>
      <c r="I237" s="1" t="s">
        <v>14</v>
      </c>
      <c r="J237" s="1" t="s">
        <v>15</v>
      </c>
      <c r="L237" s="1" t="s">
        <v>78</v>
      </c>
      <c r="M237" s="1" t="s">
        <v>235</v>
      </c>
      <c r="N237" s="1" t="s">
        <v>236</v>
      </c>
      <c r="O237" s="1" t="s">
        <v>430</v>
      </c>
      <c r="P237" s="1" t="s">
        <v>433</v>
      </c>
    </row>
    <row r="238" spans="7:16" hidden="1" outlineLevel="1" x14ac:dyDescent="0.25">
      <c r="G238" s="1" t="s">
        <v>321</v>
      </c>
      <c r="H238" s="1" t="s">
        <v>18</v>
      </c>
      <c r="I238" s="1" t="s">
        <v>14</v>
      </c>
      <c r="J238" s="1" t="s">
        <v>15</v>
      </c>
      <c r="L238" s="1" t="s">
        <v>78</v>
      </c>
      <c r="M238" s="1" t="s">
        <v>235</v>
      </c>
      <c r="N238" s="1" t="s">
        <v>236</v>
      </c>
      <c r="O238" s="1" t="s">
        <v>430</v>
      </c>
      <c r="P238" s="1" t="s">
        <v>433</v>
      </c>
    </row>
    <row r="239" spans="7:16" hidden="1" outlineLevel="1" x14ac:dyDescent="0.25">
      <c r="G239" s="1" t="s">
        <v>321</v>
      </c>
      <c r="H239" s="1" t="s">
        <v>51</v>
      </c>
      <c r="I239" s="1" t="s">
        <v>14</v>
      </c>
      <c r="J239" s="1" t="s">
        <v>15</v>
      </c>
      <c r="L239" s="1" t="s">
        <v>78</v>
      </c>
      <c r="M239" s="1" t="s">
        <v>235</v>
      </c>
      <c r="N239" s="1" t="s">
        <v>236</v>
      </c>
      <c r="O239" s="1" t="s">
        <v>430</v>
      </c>
      <c r="P239" s="1" t="s">
        <v>433</v>
      </c>
    </row>
    <row r="240" spans="7:16" hidden="1" outlineLevel="1" x14ac:dyDescent="0.25">
      <c r="G240" s="1" t="s">
        <v>321</v>
      </c>
      <c r="H240" s="1" t="s">
        <v>51</v>
      </c>
      <c r="I240" s="1" t="s">
        <v>14</v>
      </c>
      <c r="J240" s="1" t="s">
        <v>15</v>
      </c>
      <c r="L240" s="1" t="s">
        <v>78</v>
      </c>
      <c r="M240" s="1" t="s">
        <v>235</v>
      </c>
      <c r="N240" s="1" t="s">
        <v>236</v>
      </c>
      <c r="O240" s="1" t="s">
        <v>430</v>
      </c>
      <c r="P240" s="1" t="s">
        <v>433</v>
      </c>
    </row>
    <row r="241" spans="7:16" hidden="1" outlineLevel="1" x14ac:dyDescent="0.25">
      <c r="G241" s="1" t="s">
        <v>321</v>
      </c>
      <c r="H241" s="1" t="s">
        <v>51</v>
      </c>
      <c r="I241" s="1" t="s">
        <v>14</v>
      </c>
      <c r="J241" s="1" t="s">
        <v>15</v>
      </c>
      <c r="L241" s="1" t="s">
        <v>78</v>
      </c>
      <c r="M241" s="1" t="s">
        <v>235</v>
      </c>
      <c r="N241" s="1" t="s">
        <v>236</v>
      </c>
      <c r="O241" s="1" t="s">
        <v>430</v>
      </c>
      <c r="P241" s="1" t="s">
        <v>433</v>
      </c>
    </row>
    <row r="242" spans="7:16" hidden="1" outlineLevel="1" x14ac:dyDescent="0.25">
      <c r="G242" s="1" t="s">
        <v>321</v>
      </c>
      <c r="H242" s="1" t="s">
        <v>51</v>
      </c>
      <c r="I242" s="1" t="s">
        <v>14</v>
      </c>
      <c r="J242" s="1" t="s">
        <v>15</v>
      </c>
      <c r="L242" s="1" t="s">
        <v>78</v>
      </c>
      <c r="M242" s="1" t="s">
        <v>235</v>
      </c>
      <c r="N242" s="1" t="s">
        <v>236</v>
      </c>
      <c r="O242" s="1" t="s">
        <v>430</v>
      </c>
      <c r="P242" s="1" t="s">
        <v>433</v>
      </c>
    </row>
    <row r="243" spans="7:16" hidden="1" outlineLevel="1" x14ac:dyDescent="0.25">
      <c r="G243" s="1" t="s">
        <v>321</v>
      </c>
      <c r="H243" s="1" t="s">
        <v>51</v>
      </c>
      <c r="I243" s="1" t="s">
        <v>14</v>
      </c>
      <c r="J243" s="1" t="s">
        <v>15</v>
      </c>
      <c r="L243" s="1" t="s">
        <v>78</v>
      </c>
      <c r="M243" s="1" t="s">
        <v>235</v>
      </c>
      <c r="N243" s="1" t="s">
        <v>236</v>
      </c>
      <c r="O243" s="1" t="s">
        <v>430</v>
      </c>
      <c r="P243" s="1" t="s">
        <v>433</v>
      </c>
    </row>
    <row r="244" spans="7:16" hidden="1" outlineLevel="1" x14ac:dyDescent="0.25">
      <c r="G244" s="1" t="s">
        <v>321</v>
      </c>
      <c r="H244" s="1" t="s">
        <v>18</v>
      </c>
      <c r="I244" s="1" t="s">
        <v>14</v>
      </c>
      <c r="J244" s="1" t="s">
        <v>15</v>
      </c>
      <c r="L244" s="1" t="s">
        <v>78</v>
      </c>
      <c r="M244" s="1" t="s">
        <v>235</v>
      </c>
      <c r="N244" s="1" t="s">
        <v>236</v>
      </c>
      <c r="O244" s="1" t="s">
        <v>430</v>
      </c>
      <c r="P244" s="1" t="s">
        <v>433</v>
      </c>
    </row>
    <row r="245" spans="7:16" hidden="1" outlineLevel="1" x14ac:dyDescent="0.25">
      <c r="G245" s="1" t="s">
        <v>321</v>
      </c>
      <c r="H245" s="1" t="s">
        <v>18</v>
      </c>
      <c r="I245" s="1" t="s">
        <v>14</v>
      </c>
      <c r="J245" s="1" t="s">
        <v>15</v>
      </c>
      <c r="L245" s="1" t="s">
        <v>78</v>
      </c>
      <c r="M245" s="1" t="s">
        <v>235</v>
      </c>
      <c r="N245" s="1" t="s">
        <v>236</v>
      </c>
      <c r="O245" s="1" t="s">
        <v>430</v>
      </c>
      <c r="P245" s="1" t="s">
        <v>433</v>
      </c>
    </row>
    <row r="246" spans="7:16" hidden="1" outlineLevel="1" x14ac:dyDescent="0.25">
      <c r="G246" s="1" t="s">
        <v>321</v>
      </c>
      <c r="H246" s="1" t="s">
        <v>18</v>
      </c>
      <c r="I246" s="1" t="s">
        <v>14</v>
      </c>
      <c r="J246" s="1" t="s">
        <v>15</v>
      </c>
      <c r="L246" s="1" t="s">
        <v>78</v>
      </c>
      <c r="M246" s="1" t="s">
        <v>235</v>
      </c>
      <c r="N246" s="1" t="s">
        <v>236</v>
      </c>
      <c r="O246" s="1" t="s">
        <v>430</v>
      </c>
      <c r="P246" s="1" t="s">
        <v>433</v>
      </c>
    </row>
    <row r="247" spans="7:16" hidden="1" outlineLevel="1" x14ac:dyDescent="0.25">
      <c r="G247" s="1" t="s">
        <v>321</v>
      </c>
      <c r="H247" s="1" t="s">
        <v>18</v>
      </c>
      <c r="I247" s="1" t="s">
        <v>14</v>
      </c>
      <c r="J247" s="1" t="s">
        <v>15</v>
      </c>
      <c r="L247" s="1" t="s">
        <v>78</v>
      </c>
      <c r="M247" s="1" t="s">
        <v>235</v>
      </c>
      <c r="N247" s="1" t="s">
        <v>236</v>
      </c>
      <c r="O247" s="1" t="s">
        <v>430</v>
      </c>
      <c r="P247" s="1" t="s">
        <v>433</v>
      </c>
    </row>
    <row r="248" spans="7:16" hidden="1" outlineLevel="1" x14ac:dyDescent="0.25">
      <c r="G248" s="1" t="s">
        <v>321</v>
      </c>
      <c r="H248" s="1" t="s">
        <v>230</v>
      </c>
      <c r="I248" s="1" t="s">
        <v>14</v>
      </c>
      <c r="J248" s="1" t="s">
        <v>15</v>
      </c>
      <c r="L248" s="1" t="s">
        <v>231</v>
      </c>
      <c r="M248" s="1" t="s">
        <v>235</v>
      </c>
      <c r="N248" s="1" t="s">
        <v>236</v>
      </c>
      <c r="O248" s="1" t="s">
        <v>430</v>
      </c>
      <c r="P248" s="1" t="s">
        <v>433</v>
      </c>
    </row>
    <row r="249" spans="7:16" hidden="1" outlineLevel="1" x14ac:dyDescent="0.25">
      <c r="G249" s="1" t="s">
        <v>321</v>
      </c>
      <c r="H249" s="1" t="s">
        <v>230</v>
      </c>
      <c r="I249" s="1" t="s">
        <v>14</v>
      </c>
      <c r="J249" s="1" t="s">
        <v>15</v>
      </c>
      <c r="L249" s="1" t="s">
        <v>231</v>
      </c>
      <c r="M249" s="1" t="s">
        <v>235</v>
      </c>
      <c r="N249" s="1" t="s">
        <v>236</v>
      </c>
      <c r="O249" s="1" t="s">
        <v>430</v>
      </c>
      <c r="P249" s="1" t="s">
        <v>433</v>
      </c>
    </row>
    <row r="250" spans="7:16" hidden="1" outlineLevel="1" x14ac:dyDescent="0.25">
      <c r="G250" s="1" t="s">
        <v>323</v>
      </c>
      <c r="H250" s="1" t="s">
        <v>18</v>
      </c>
      <c r="I250" s="1" t="s">
        <v>14</v>
      </c>
      <c r="J250" s="1" t="s">
        <v>15</v>
      </c>
      <c r="L250" s="1" t="s">
        <v>78</v>
      </c>
      <c r="M250" s="1" t="s">
        <v>235</v>
      </c>
      <c r="N250" s="1" t="s">
        <v>236</v>
      </c>
      <c r="O250" s="1" t="s">
        <v>430</v>
      </c>
      <c r="P250" s="1" t="s">
        <v>433</v>
      </c>
    </row>
    <row r="251" spans="7:16" hidden="1" outlineLevel="1" x14ac:dyDescent="0.25">
      <c r="G251" s="1" t="s">
        <v>323</v>
      </c>
      <c r="H251" s="1" t="s">
        <v>18</v>
      </c>
      <c r="I251" s="1" t="s">
        <v>14</v>
      </c>
      <c r="J251" s="1" t="s">
        <v>15</v>
      </c>
      <c r="L251" s="1" t="s">
        <v>78</v>
      </c>
      <c r="M251" s="1" t="s">
        <v>235</v>
      </c>
      <c r="N251" s="1" t="s">
        <v>236</v>
      </c>
      <c r="O251" s="1" t="s">
        <v>430</v>
      </c>
      <c r="P251" s="1" t="s">
        <v>433</v>
      </c>
    </row>
    <row r="252" spans="7:16" hidden="1" outlineLevel="1" x14ac:dyDescent="0.25">
      <c r="G252" s="1" t="s">
        <v>323</v>
      </c>
      <c r="H252" s="1" t="s">
        <v>18</v>
      </c>
      <c r="I252" s="1" t="s">
        <v>14</v>
      </c>
      <c r="J252" s="1" t="s">
        <v>15</v>
      </c>
      <c r="L252" s="1" t="s">
        <v>78</v>
      </c>
      <c r="M252" s="1" t="s">
        <v>235</v>
      </c>
      <c r="N252" s="1" t="s">
        <v>236</v>
      </c>
      <c r="O252" s="1" t="s">
        <v>430</v>
      </c>
      <c r="P252" s="1" t="s">
        <v>433</v>
      </c>
    </row>
    <row r="253" spans="7:16" hidden="1" outlineLevel="1" x14ac:dyDescent="0.25">
      <c r="G253" s="1" t="s">
        <v>321</v>
      </c>
      <c r="H253" s="1" t="s">
        <v>18</v>
      </c>
      <c r="I253" s="1" t="s">
        <v>14</v>
      </c>
      <c r="J253" s="1" t="s">
        <v>15</v>
      </c>
      <c r="L253" s="1" t="s">
        <v>78</v>
      </c>
      <c r="M253" s="1" t="s">
        <v>235</v>
      </c>
      <c r="N253" s="1" t="s">
        <v>236</v>
      </c>
      <c r="O253" s="1" t="s">
        <v>430</v>
      </c>
      <c r="P253" s="1" t="s">
        <v>433</v>
      </c>
    </row>
    <row r="254" spans="7:16" hidden="1" outlineLevel="1" x14ac:dyDescent="0.25">
      <c r="G254" s="1" t="s">
        <v>321</v>
      </c>
      <c r="H254" s="1" t="s">
        <v>18</v>
      </c>
      <c r="I254" s="1" t="s">
        <v>14</v>
      </c>
      <c r="J254" s="1" t="s">
        <v>15</v>
      </c>
      <c r="L254" s="1" t="s">
        <v>78</v>
      </c>
      <c r="M254" s="1" t="s">
        <v>235</v>
      </c>
      <c r="N254" s="1" t="s">
        <v>236</v>
      </c>
      <c r="O254" s="1" t="s">
        <v>430</v>
      </c>
      <c r="P254" s="1" t="s">
        <v>433</v>
      </c>
    </row>
    <row r="255" spans="7:16" hidden="1" outlineLevel="1" x14ac:dyDescent="0.25">
      <c r="G255" s="1" t="s">
        <v>323</v>
      </c>
      <c r="H255" s="1" t="s">
        <v>18</v>
      </c>
      <c r="I255" s="1" t="s">
        <v>14</v>
      </c>
      <c r="J255" s="1" t="s">
        <v>15</v>
      </c>
      <c r="L255" s="1" t="s">
        <v>78</v>
      </c>
      <c r="M255" s="1" t="s">
        <v>235</v>
      </c>
      <c r="N255" s="1" t="s">
        <v>236</v>
      </c>
      <c r="O255" s="1" t="s">
        <v>430</v>
      </c>
      <c r="P255" s="1" t="s">
        <v>433</v>
      </c>
    </row>
    <row r="256" spans="7:16" hidden="1" outlineLevel="1" x14ac:dyDescent="0.25">
      <c r="G256" s="1" t="s">
        <v>323</v>
      </c>
      <c r="H256" s="1" t="s">
        <v>18</v>
      </c>
      <c r="I256" s="1" t="s">
        <v>14</v>
      </c>
      <c r="J256" s="1" t="s">
        <v>15</v>
      </c>
      <c r="L256" s="1" t="s">
        <v>78</v>
      </c>
      <c r="M256" s="1" t="s">
        <v>235</v>
      </c>
      <c r="N256" s="1" t="s">
        <v>236</v>
      </c>
      <c r="O256" s="1" t="s">
        <v>430</v>
      </c>
      <c r="P256" s="1" t="s">
        <v>433</v>
      </c>
    </row>
    <row r="257" spans="7:16" hidden="1" outlineLevel="1" x14ac:dyDescent="0.25">
      <c r="G257" s="1" t="s">
        <v>323</v>
      </c>
      <c r="H257" s="1" t="s">
        <v>18</v>
      </c>
      <c r="I257" s="1" t="s">
        <v>14</v>
      </c>
      <c r="J257" s="1" t="s">
        <v>15</v>
      </c>
      <c r="L257" s="1" t="s">
        <v>78</v>
      </c>
      <c r="M257" s="1" t="s">
        <v>235</v>
      </c>
      <c r="N257" s="1" t="s">
        <v>236</v>
      </c>
      <c r="O257" s="1" t="s">
        <v>430</v>
      </c>
      <c r="P257" s="1" t="s">
        <v>433</v>
      </c>
    </row>
    <row r="258" spans="7:16" hidden="1" outlineLevel="1" x14ac:dyDescent="0.25">
      <c r="G258" s="1" t="s">
        <v>323</v>
      </c>
      <c r="H258" s="1" t="s">
        <v>18</v>
      </c>
      <c r="I258" s="1" t="s">
        <v>14</v>
      </c>
      <c r="J258" s="1" t="s">
        <v>15</v>
      </c>
      <c r="L258" s="1" t="s">
        <v>78</v>
      </c>
      <c r="M258" s="1" t="s">
        <v>235</v>
      </c>
      <c r="N258" s="1" t="s">
        <v>236</v>
      </c>
      <c r="O258" s="1" t="s">
        <v>430</v>
      </c>
      <c r="P258" s="1" t="s">
        <v>433</v>
      </c>
    </row>
    <row r="259" spans="7:16" hidden="1" outlineLevel="1" x14ac:dyDescent="0.25">
      <c r="G259" s="1" t="s">
        <v>323</v>
      </c>
      <c r="H259" s="1" t="s">
        <v>18</v>
      </c>
      <c r="I259" s="1" t="s">
        <v>14</v>
      </c>
      <c r="J259" s="1" t="s">
        <v>15</v>
      </c>
      <c r="L259" s="1" t="s">
        <v>78</v>
      </c>
      <c r="M259" s="1" t="s">
        <v>235</v>
      </c>
      <c r="N259" s="1" t="s">
        <v>236</v>
      </c>
      <c r="O259" s="1" t="s">
        <v>430</v>
      </c>
      <c r="P259" s="1" t="s">
        <v>433</v>
      </c>
    </row>
    <row r="260" spans="7:16" hidden="1" outlineLevel="1" x14ac:dyDescent="0.25">
      <c r="G260" s="1" t="s">
        <v>323</v>
      </c>
      <c r="H260" s="1" t="s">
        <v>18</v>
      </c>
      <c r="I260" s="1" t="s">
        <v>14</v>
      </c>
      <c r="J260" s="1" t="s">
        <v>15</v>
      </c>
      <c r="L260" s="1" t="s">
        <v>78</v>
      </c>
      <c r="M260" s="1" t="s">
        <v>235</v>
      </c>
      <c r="N260" s="1" t="s">
        <v>236</v>
      </c>
      <c r="O260" s="1" t="s">
        <v>430</v>
      </c>
      <c r="P260" s="1" t="s">
        <v>433</v>
      </c>
    </row>
    <row r="261" spans="7:16" hidden="1" outlineLevel="1" x14ac:dyDescent="0.25">
      <c r="G261" s="1" t="s">
        <v>321</v>
      </c>
      <c r="H261" s="1" t="s">
        <v>18</v>
      </c>
      <c r="I261" s="1" t="s">
        <v>14</v>
      </c>
      <c r="J261" s="1" t="s">
        <v>15</v>
      </c>
      <c r="L261" s="1" t="s">
        <v>78</v>
      </c>
      <c r="M261" s="1" t="s">
        <v>235</v>
      </c>
      <c r="N261" s="1" t="s">
        <v>236</v>
      </c>
      <c r="O261" s="1" t="s">
        <v>430</v>
      </c>
      <c r="P261" s="1" t="s">
        <v>433</v>
      </c>
    </row>
    <row r="262" spans="7:16" hidden="1" outlineLevel="1" x14ac:dyDescent="0.25">
      <c r="G262" s="1" t="s">
        <v>321</v>
      </c>
      <c r="H262" s="1" t="s">
        <v>18</v>
      </c>
      <c r="I262" s="1" t="s">
        <v>14</v>
      </c>
      <c r="J262" s="1" t="s">
        <v>15</v>
      </c>
      <c r="L262" s="1" t="s">
        <v>78</v>
      </c>
      <c r="M262" s="1" t="s">
        <v>235</v>
      </c>
      <c r="N262" s="1" t="s">
        <v>236</v>
      </c>
      <c r="O262" s="1" t="s">
        <v>430</v>
      </c>
      <c r="P262" s="1" t="s">
        <v>433</v>
      </c>
    </row>
    <row r="263" spans="7:16" hidden="1" outlineLevel="1" x14ac:dyDescent="0.25">
      <c r="G263" s="1" t="s">
        <v>321</v>
      </c>
      <c r="H263" s="1" t="s">
        <v>18</v>
      </c>
      <c r="I263" s="1" t="s">
        <v>14</v>
      </c>
      <c r="J263" s="1" t="s">
        <v>15</v>
      </c>
      <c r="L263" s="1" t="s">
        <v>78</v>
      </c>
      <c r="M263" s="1" t="s">
        <v>235</v>
      </c>
      <c r="N263" s="1" t="s">
        <v>236</v>
      </c>
      <c r="O263" s="1" t="s">
        <v>430</v>
      </c>
      <c r="P263" s="1" t="s">
        <v>433</v>
      </c>
    </row>
    <row r="264" spans="7:16" hidden="1" outlineLevel="1" x14ac:dyDescent="0.25">
      <c r="G264" s="1" t="s">
        <v>321</v>
      </c>
      <c r="H264" s="1" t="s">
        <v>18</v>
      </c>
      <c r="I264" s="1" t="s">
        <v>14</v>
      </c>
      <c r="J264" s="1" t="s">
        <v>15</v>
      </c>
      <c r="L264" s="1" t="s">
        <v>78</v>
      </c>
      <c r="M264" s="1" t="s">
        <v>235</v>
      </c>
      <c r="N264" s="1" t="s">
        <v>236</v>
      </c>
      <c r="O264" s="1" t="s">
        <v>430</v>
      </c>
      <c r="P264" s="1" t="s">
        <v>433</v>
      </c>
    </row>
    <row r="265" spans="7:16" hidden="1" outlineLevel="1" x14ac:dyDescent="0.25">
      <c r="G265" s="1" t="s">
        <v>321</v>
      </c>
      <c r="H265" s="1" t="s">
        <v>18</v>
      </c>
      <c r="I265" s="1" t="s">
        <v>14</v>
      </c>
      <c r="J265" s="1" t="s">
        <v>15</v>
      </c>
      <c r="L265" s="1" t="s">
        <v>78</v>
      </c>
      <c r="M265" s="1" t="s">
        <v>235</v>
      </c>
      <c r="N265" s="1" t="s">
        <v>236</v>
      </c>
      <c r="O265" s="1" t="s">
        <v>430</v>
      </c>
      <c r="P265" s="1" t="s">
        <v>433</v>
      </c>
    </row>
    <row r="266" spans="7:16" hidden="1" outlineLevel="1" x14ac:dyDescent="0.25">
      <c r="G266" s="1" t="s">
        <v>321</v>
      </c>
      <c r="H266" s="1" t="s">
        <v>18</v>
      </c>
      <c r="I266" s="1" t="s">
        <v>14</v>
      </c>
      <c r="J266" s="1" t="s">
        <v>15</v>
      </c>
      <c r="L266" s="1" t="s">
        <v>78</v>
      </c>
      <c r="M266" s="1" t="s">
        <v>235</v>
      </c>
      <c r="N266" s="1" t="s">
        <v>236</v>
      </c>
      <c r="O266" s="1" t="s">
        <v>430</v>
      </c>
      <c r="P266" s="1" t="s">
        <v>433</v>
      </c>
    </row>
    <row r="267" spans="7:16" hidden="1" outlineLevel="1" x14ac:dyDescent="0.25">
      <c r="G267" s="1" t="s">
        <v>321</v>
      </c>
      <c r="H267" s="1" t="s">
        <v>18</v>
      </c>
      <c r="I267" s="1" t="s">
        <v>14</v>
      </c>
      <c r="J267" s="1" t="s">
        <v>15</v>
      </c>
      <c r="L267" s="1" t="s">
        <v>78</v>
      </c>
      <c r="M267" s="1" t="s">
        <v>235</v>
      </c>
      <c r="N267" s="1" t="s">
        <v>236</v>
      </c>
      <c r="O267" s="1" t="s">
        <v>430</v>
      </c>
      <c r="P267" s="1" t="s">
        <v>433</v>
      </c>
    </row>
    <row r="268" spans="7:16" hidden="1" outlineLevel="1" x14ac:dyDescent="0.25">
      <c r="G268" s="1" t="s">
        <v>321</v>
      </c>
      <c r="H268" s="1" t="s">
        <v>18</v>
      </c>
      <c r="I268" s="1" t="s">
        <v>14</v>
      </c>
      <c r="J268" s="1" t="s">
        <v>15</v>
      </c>
      <c r="L268" s="1" t="s">
        <v>78</v>
      </c>
      <c r="M268" s="1" t="s">
        <v>235</v>
      </c>
      <c r="N268" s="1" t="s">
        <v>236</v>
      </c>
      <c r="O268" s="1" t="s">
        <v>430</v>
      </c>
      <c r="P268" s="1" t="s">
        <v>433</v>
      </c>
    </row>
    <row r="269" spans="7:16" hidden="1" outlineLevel="1" x14ac:dyDescent="0.25">
      <c r="G269" s="1" t="s">
        <v>321</v>
      </c>
      <c r="H269" s="1" t="s">
        <v>18</v>
      </c>
      <c r="I269" s="1" t="s">
        <v>14</v>
      </c>
      <c r="J269" s="1" t="s">
        <v>15</v>
      </c>
      <c r="L269" s="1" t="s">
        <v>78</v>
      </c>
      <c r="M269" s="1" t="s">
        <v>235</v>
      </c>
      <c r="N269" s="1" t="s">
        <v>236</v>
      </c>
      <c r="O269" s="1" t="s">
        <v>430</v>
      </c>
      <c r="P269" s="1" t="s">
        <v>433</v>
      </c>
    </row>
    <row r="270" spans="7:16" hidden="1" outlineLevel="1" x14ac:dyDescent="0.25">
      <c r="G270" s="1" t="s">
        <v>321</v>
      </c>
      <c r="H270" s="1" t="s">
        <v>18</v>
      </c>
      <c r="I270" s="1" t="s">
        <v>14</v>
      </c>
      <c r="J270" s="1" t="s">
        <v>15</v>
      </c>
      <c r="L270" s="1" t="s">
        <v>78</v>
      </c>
      <c r="M270" s="1" t="s">
        <v>235</v>
      </c>
      <c r="N270" s="1" t="s">
        <v>236</v>
      </c>
      <c r="O270" s="1" t="s">
        <v>430</v>
      </c>
      <c r="P270" s="1" t="s">
        <v>433</v>
      </c>
    </row>
    <row r="271" spans="7:16" hidden="1" outlineLevel="1" x14ac:dyDescent="0.25">
      <c r="G271" s="1" t="s">
        <v>321</v>
      </c>
      <c r="H271" s="1" t="s">
        <v>18</v>
      </c>
      <c r="I271" s="1" t="s">
        <v>14</v>
      </c>
      <c r="J271" s="1" t="s">
        <v>15</v>
      </c>
      <c r="L271" s="1" t="s">
        <v>78</v>
      </c>
      <c r="M271" s="1" t="s">
        <v>235</v>
      </c>
      <c r="N271" s="1" t="s">
        <v>236</v>
      </c>
      <c r="O271" s="1" t="s">
        <v>430</v>
      </c>
      <c r="P271" s="1" t="s">
        <v>433</v>
      </c>
    </row>
    <row r="272" spans="7:16" hidden="1" outlineLevel="1" x14ac:dyDescent="0.25">
      <c r="G272" s="1" t="s">
        <v>321</v>
      </c>
      <c r="H272" s="1" t="s">
        <v>18</v>
      </c>
      <c r="I272" s="1" t="s">
        <v>14</v>
      </c>
      <c r="J272" s="1" t="s">
        <v>15</v>
      </c>
      <c r="L272" s="1" t="s">
        <v>78</v>
      </c>
      <c r="M272" s="1" t="s">
        <v>235</v>
      </c>
      <c r="N272" s="1" t="s">
        <v>236</v>
      </c>
      <c r="O272" s="1" t="s">
        <v>430</v>
      </c>
      <c r="P272" s="1" t="s">
        <v>433</v>
      </c>
    </row>
    <row r="273" spans="7:16" hidden="1" outlineLevel="1" x14ac:dyDescent="0.25">
      <c r="G273" s="1" t="s">
        <v>321</v>
      </c>
      <c r="H273" s="1" t="s">
        <v>18</v>
      </c>
      <c r="I273" s="1" t="s">
        <v>14</v>
      </c>
      <c r="J273" s="1" t="s">
        <v>15</v>
      </c>
      <c r="L273" s="1" t="s">
        <v>78</v>
      </c>
      <c r="M273" s="1" t="s">
        <v>235</v>
      </c>
      <c r="N273" s="1" t="s">
        <v>236</v>
      </c>
      <c r="O273" s="1" t="s">
        <v>430</v>
      </c>
      <c r="P273" s="1" t="s">
        <v>433</v>
      </c>
    </row>
    <row r="274" spans="7:16" hidden="1" outlineLevel="1" x14ac:dyDescent="0.25">
      <c r="G274" s="1" t="s">
        <v>321</v>
      </c>
      <c r="H274" s="1" t="s">
        <v>18</v>
      </c>
      <c r="I274" s="1" t="s">
        <v>14</v>
      </c>
      <c r="J274" s="1" t="s">
        <v>15</v>
      </c>
      <c r="L274" s="1" t="s">
        <v>78</v>
      </c>
      <c r="M274" s="1" t="s">
        <v>235</v>
      </c>
      <c r="N274" s="1" t="s">
        <v>236</v>
      </c>
      <c r="O274" s="1" t="s">
        <v>430</v>
      </c>
      <c r="P274" s="1" t="s">
        <v>433</v>
      </c>
    </row>
    <row r="275" spans="7:16" hidden="1" outlineLevel="1" x14ac:dyDescent="0.25">
      <c r="G275" s="1" t="s">
        <v>321</v>
      </c>
      <c r="H275" s="1" t="s">
        <v>18</v>
      </c>
      <c r="I275" s="1" t="s">
        <v>14</v>
      </c>
      <c r="J275" s="1" t="s">
        <v>15</v>
      </c>
      <c r="L275" s="1" t="s">
        <v>78</v>
      </c>
      <c r="M275" s="1" t="s">
        <v>235</v>
      </c>
      <c r="N275" s="1" t="s">
        <v>236</v>
      </c>
      <c r="O275" s="1" t="s">
        <v>430</v>
      </c>
      <c r="P275" s="1" t="s">
        <v>433</v>
      </c>
    </row>
    <row r="276" spans="7:16" hidden="1" outlineLevel="1" x14ac:dyDescent="0.25">
      <c r="G276" s="1" t="s">
        <v>321</v>
      </c>
      <c r="H276" s="1" t="s">
        <v>18</v>
      </c>
      <c r="I276" s="1" t="s">
        <v>14</v>
      </c>
      <c r="J276" s="1" t="s">
        <v>15</v>
      </c>
      <c r="L276" s="1" t="s">
        <v>231</v>
      </c>
      <c r="M276" s="1" t="s">
        <v>235</v>
      </c>
      <c r="N276" s="1" t="s">
        <v>236</v>
      </c>
      <c r="O276" s="1" t="s">
        <v>430</v>
      </c>
      <c r="P276" s="1" t="s">
        <v>433</v>
      </c>
    </row>
    <row r="277" spans="7:16" hidden="1" outlineLevel="1" x14ac:dyDescent="0.25">
      <c r="G277" s="1" t="s">
        <v>321</v>
      </c>
      <c r="H277" s="1" t="s">
        <v>53</v>
      </c>
      <c r="I277" s="1" t="s">
        <v>14</v>
      </c>
      <c r="J277" s="1" t="s">
        <v>15</v>
      </c>
      <c r="L277" s="1" t="s">
        <v>78</v>
      </c>
      <c r="M277" s="1" t="s">
        <v>235</v>
      </c>
      <c r="N277" s="1" t="s">
        <v>236</v>
      </c>
      <c r="O277" s="1" t="s">
        <v>430</v>
      </c>
      <c r="P277" s="1" t="s">
        <v>433</v>
      </c>
    </row>
    <row r="278" spans="7:16" hidden="1" outlineLevel="1" x14ac:dyDescent="0.25">
      <c r="G278" s="1" t="s">
        <v>323</v>
      </c>
      <c r="H278" s="1" t="s">
        <v>18</v>
      </c>
      <c r="I278" s="1" t="s">
        <v>14</v>
      </c>
      <c r="J278" s="1" t="s">
        <v>15</v>
      </c>
      <c r="L278" s="1" t="s">
        <v>78</v>
      </c>
      <c r="M278" s="1" t="s">
        <v>235</v>
      </c>
      <c r="N278" s="1" t="s">
        <v>236</v>
      </c>
      <c r="O278" s="1" t="s">
        <v>430</v>
      </c>
      <c r="P278" s="1" t="s">
        <v>433</v>
      </c>
    </row>
    <row r="279" spans="7:16" hidden="1" outlineLevel="1" x14ac:dyDescent="0.25">
      <c r="G279" s="1" t="s">
        <v>323</v>
      </c>
      <c r="H279" s="1" t="s">
        <v>18</v>
      </c>
      <c r="I279" s="1" t="s">
        <v>14</v>
      </c>
      <c r="J279" s="1" t="s">
        <v>15</v>
      </c>
      <c r="L279" s="1" t="s">
        <v>78</v>
      </c>
      <c r="M279" s="1" t="s">
        <v>235</v>
      </c>
      <c r="N279" s="1" t="s">
        <v>236</v>
      </c>
      <c r="O279" s="1" t="s">
        <v>430</v>
      </c>
      <c r="P279" s="1" t="s">
        <v>433</v>
      </c>
    </row>
    <row r="280" spans="7:16" hidden="1" outlineLevel="1" x14ac:dyDescent="0.25">
      <c r="G280" s="1" t="s">
        <v>323</v>
      </c>
      <c r="H280" s="1" t="s">
        <v>18</v>
      </c>
      <c r="I280" s="1" t="s">
        <v>14</v>
      </c>
      <c r="J280" s="1" t="s">
        <v>15</v>
      </c>
      <c r="L280" s="1" t="s">
        <v>78</v>
      </c>
      <c r="M280" s="1" t="s">
        <v>235</v>
      </c>
      <c r="N280" s="1" t="s">
        <v>236</v>
      </c>
      <c r="O280" s="1" t="s">
        <v>430</v>
      </c>
      <c r="P280" s="1" t="s">
        <v>433</v>
      </c>
    </row>
    <row r="281" spans="7:16" hidden="1" outlineLevel="1" x14ac:dyDescent="0.25">
      <c r="G281" s="1" t="s">
        <v>323</v>
      </c>
      <c r="H281" s="1" t="s">
        <v>18</v>
      </c>
      <c r="I281" s="1" t="s">
        <v>14</v>
      </c>
      <c r="J281" s="1" t="s">
        <v>15</v>
      </c>
      <c r="L281" s="1" t="s">
        <v>78</v>
      </c>
      <c r="M281" s="1" t="s">
        <v>235</v>
      </c>
      <c r="N281" s="1" t="s">
        <v>236</v>
      </c>
      <c r="O281" s="1" t="s">
        <v>430</v>
      </c>
      <c r="P281" s="1" t="s">
        <v>433</v>
      </c>
    </row>
    <row r="282" spans="7:16" hidden="1" outlineLevel="1" x14ac:dyDescent="0.25">
      <c r="G282" s="1" t="s">
        <v>323</v>
      </c>
      <c r="H282" s="1" t="s">
        <v>18</v>
      </c>
      <c r="I282" s="1" t="s">
        <v>14</v>
      </c>
      <c r="J282" s="1" t="s">
        <v>15</v>
      </c>
      <c r="L282" s="1" t="s">
        <v>78</v>
      </c>
      <c r="M282" s="1" t="s">
        <v>235</v>
      </c>
      <c r="N282" s="1" t="s">
        <v>236</v>
      </c>
      <c r="O282" s="1" t="s">
        <v>430</v>
      </c>
      <c r="P282" s="1" t="s">
        <v>433</v>
      </c>
    </row>
    <row r="283" spans="7:16" hidden="1" outlineLevel="1" x14ac:dyDescent="0.25">
      <c r="G283" s="1" t="s">
        <v>323</v>
      </c>
      <c r="H283" s="1" t="s">
        <v>18</v>
      </c>
      <c r="I283" s="1" t="s">
        <v>14</v>
      </c>
      <c r="J283" s="1" t="s">
        <v>15</v>
      </c>
      <c r="L283" s="1" t="s">
        <v>78</v>
      </c>
      <c r="M283" s="1" t="s">
        <v>235</v>
      </c>
      <c r="N283" s="1" t="s">
        <v>236</v>
      </c>
      <c r="O283" s="1" t="s">
        <v>430</v>
      </c>
      <c r="P283" s="1" t="s">
        <v>433</v>
      </c>
    </row>
    <row r="284" spans="7:16" hidden="1" outlineLevel="1" x14ac:dyDescent="0.25">
      <c r="G284" s="1" t="s">
        <v>323</v>
      </c>
      <c r="H284" s="1" t="s">
        <v>18</v>
      </c>
      <c r="I284" s="1" t="s">
        <v>14</v>
      </c>
      <c r="J284" s="1" t="s">
        <v>15</v>
      </c>
      <c r="L284" s="1" t="s">
        <v>78</v>
      </c>
      <c r="M284" s="1" t="s">
        <v>235</v>
      </c>
      <c r="N284" s="1" t="s">
        <v>236</v>
      </c>
      <c r="O284" s="1" t="s">
        <v>430</v>
      </c>
      <c r="P284" s="1" t="s">
        <v>433</v>
      </c>
    </row>
    <row r="285" spans="7:16" hidden="1" outlineLevel="1" x14ac:dyDescent="0.25">
      <c r="G285" s="1" t="s">
        <v>323</v>
      </c>
      <c r="H285" s="1" t="s">
        <v>18</v>
      </c>
      <c r="I285" s="1" t="s">
        <v>14</v>
      </c>
      <c r="J285" s="1" t="s">
        <v>15</v>
      </c>
      <c r="L285" s="1" t="s">
        <v>78</v>
      </c>
      <c r="M285" s="1" t="s">
        <v>235</v>
      </c>
      <c r="N285" s="1" t="s">
        <v>236</v>
      </c>
      <c r="O285" s="1" t="s">
        <v>430</v>
      </c>
      <c r="P285" s="1" t="s">
        <v>433</v>
      </c>
    </row>
    <row r="286" spans="7:16" hidden="1" outlineLevel="1" x14ac:dyDescent="0.25">
      <c r="G286" s="1" t="s">
        <v>323</v>
      </c>
      <c r="H286" s="1" t="s">
        <v>18</v>
      </c>
      <c r="I286" s="1" t="s">
        <v>14</v>
      </c>
      <c r="J286" s="1" t="s">
        <v>15</v>
      </c>
      <c r="L286" s="1" t="s">
        <v>78</v>
      </c>
      <c r="M286" s="1" t="s">
        <v>235</v>
      </c>
      <c r="N286" s="1" t="s">
        <v>236</v>
      </c>
      <c r="O286" s="1" t="s">
        <v>430</v>
      </c>
      <c r="P286" s="1" t="s">
        <v>433</v>
      </c>
    </row>
    <row r="287" spans="7:16" hidden="1" outlineLevel="1" x14ac:dyDescent="0.25">
      <c r="G287" s="1" t="s">
        <v>323</v>
      </c>
      <c r="H287" s="1" t="s">
        <v>18</v>
      </c>
      <c r="I287" s="1" t="s">
        <v>14</v>
      </c>
      <c r="J287" s="1" t="s">
        <v>15</v>
      </c>
      <c r="L287" s="1" t="s">
        <v>78</v>
      </c>
      <c r="M287" s="1" t="s">
        <v>235</v>
      </c>
      <c r="N287" s="1" t="s">
        <v>236</v>
      </c>
      <c r="O287" s="1" t="s">
        <v>430</v>
      </c>
      <c r="P287" s="1" t="s">
        <v>433</v>
      </c>
    </row>
    <row r="288" spans="7:16" hidden="1" outlineLevel="1" x14ac:dyDescent="0.25">
      <c r="G288" s="1" t="s">
        <v>323</v>
      </c>
      <c r="H288" s="1" t="s">
        <v>18</v>
      </c>
      <c r="I288" s="1" t="s">
        <v>14</v>
      </c>
      <c r="J288" s="1" t="s">
        <v>15</v>
      </c>
      <c r="L288" s="1" t="s">
        <v>78</v>
      </c>
      <c r="M288" s="1" t="s">
        <v>235</v>
      </c>
      <c r="N288" s="1" t="s">
        <v>236</v>
      </c>
      <c r="O288" s="1" t="s">
        <v>430</v>
      </c>
      <c r="P288" s="1" t="s">
        <v>433</v>
      </c>
    </row>
    <row r="289" spans="7:16" hidden="1" outlineLevel="1" x14ac:dyDescent="0.25">
      <c r="G289" s="1" t="s">
        <v>323</v>
      </c>
      <c r="H289" s="1" t="s">
        <v>18</v>
      </c>
      <c r="I289" s="1" t="s">
        <v>14</v>
      </c>
      <c r="J289" s="1" t="s">
        <v>15</v>
      </c>
      <c r="L289" s="1" t="s">
        <v>78</v>
      </c>
      <c r="M289" s="1" t="s">
        <v>235</v>
      </c>
      <c r="N289" s="1" t="s">
        <v>236</v>
      </c>
      <c r="O289" s="1" t="s">
        <v>430</v>
      </c>
      <c r="P289" s="1" t="s">
        <v>433</v>
      </c>
    </row>
    <row r="290" spans="7:16" hidden="1" outlineLevel="1" x14ac:dyDescent="0.25">
      <c r="G290" s="1" t="s">
        <v>323</v>
      </c>
      <c r="H290" s="1" t="s">
        <v>18</v>
      </c>
      <c r="I290" s="1" t="s">
        <v>14</v>
      </c>
      <c r="J290" s="1" t="s">
        <v>15</v>
      </c>
      <c r="L290" s="1" t="s">
        <v>78</v>
      </c>
      <c r="M290" s="1" t="s">
        <v>235</v>
      </c>
      <c r="N290" s="1" t="s">
        <v>236</v>
      </c>
      <c r="O290" s="1" t="s">
        <v>430</v>
      </c>
      <c r="P290" s="1" t="s">
        <v>433</v>
      </c>
    </row>
    <row r="291" spans="7:16" hidden="1" outlineLevel="1" x14ac:dyDescent="0.25">
      <c r="G291" s="1" t="s">
        <v>323</v>
      </c>
      <c r="H291" s="1" t="s">
        <v>18</v>
      </c>
      <c r="I291" s="1" t="s">
        <v>14</v>
      </c>
      <c r="J291" s="1" t="s">
        <v>15</v>
      </c>
      <c r="L291" s="1" t="s">
        <v>78</v>
      </c>
      <c r="M291" s="1" t="s">
        <v>235</v>
      </c>
      <c r="N291" s="1" t="s">
        <v>236</v>
      </c>
      <c r="O291" s="1" t="s">
        <v>430</v>
      </c>
      <c r="P291" s="1" t="s">
        <v>433</v>
      </c>
    </row>
    <row r="292" spans="7:16" hidden="1" outlineLevel="1" x14ac:dyDescent="0.25">
      <c r="G292" s="1" t="s">
        <v>323</v>
      </c>
      <c r="H292" s="1" t="s">
        <v>18</v>
      </c>
      <c r="I292" s="1" t="s">
        <v>14</v>
      </c>
      <c r="J292" s="1" t="s">
        <v>15</v>
      </c>
      <c r="L292" s="1" t="s">
        <v>78</v>
      </c>
      <c r="M292" s="1" t="s">
        <v>235</v>
      </c>
      <c r="N292" s="1" t="s">
        <v>236</v>
      </c>
      <c r="O292" s="1" t="s">
        <v>430</v>
      </c>
      <c r="P292" s="1" t="s">
        <v>433</v>
      </c>
    </row>
    <row r="293" spans="7:16" hidden="1" outlineLevel="1" x14ac:dyDescent="0.25">
      <c r="G293" s="1" t="s">
        <v>323</v>
      </c>
      <c r="H293" s="1" t="s">
        <v>18</v>
      </c>
      <c r="I293" s="1" t="s">
        <v>14</v>
      </c>
      <c r="J293" s="1" t="s">
        <v>15</v>
      </c>
      <c r="L293" s="1" t="s">
        <v>78</v>
      </c>
      <c r="M293" s="1" t="s">
        <v>235</v>
      </c>
      <c r="N293" s="1" t="s">
        <v>236</v>
      </c>
      <c r="O293" s="1" t="s">
        <v>430</v>
      </c>
      <c r="P293" s="1" t="s">
        <v>433</v>
      </c>
    </row>
    <row r="294" spans="7:16" hidden="1" outlineLevel="1" x14ac:dyDescent="0.25">
      <c r="G294" s="1" t="s">
        <v>323</v>
      </c>
      <c r="H294" s="1" t="s">
        <v>18</v>
      </c>
      <c r="I294" s="1" t="s">
        <v>14</v>
      </c>
      <c r="J294" s="1" t="s">
        <v>15</v>
      </c>
      <c r="L294" s="1" t="s">
        <v>78</v>
      </c>
      <c r="M294" s="1" t="s">
        <v>235</v>
      </c>
      <c r="N294" s="1" t="s">
        <v>236</v>
      </c>
      <c r="O294" s="1" t="s">
        <v>430</v>
      </c>
      <c r="P294" s="1" t="s">
        <v>433</v>
      </c>
    </row>
    <row r="295" spans="7:16" hidden="1" outlineLevel="1" x14ac:dyDescent="0.25">
      <c r="G295" s="1" t="s">
        <v>323</v>
      </c>
      <c r="H295" s="1" t="s">
        <v>18</v>
      </c>
      <c r="I295" s="1" t="s">
        <v>14</v>
      </c>
      <c r="J295" s="1" t="s">
        <v>15</v>
      </c>
      <c r="L295" s="1" t="s">
        <v>78</v>
      </c>
      <c r="M295" s="1" t="s">
        <v>235</v>
      </c>
      <c r="N295" s="1" t="s">
        <v>236</v>
      </c>
      <c r="O295" s="1" t="s">
        <v>430</v>
      </c>
      <c r="P295" s="1" t="s">
        <v>433</v>
      </c>
    </row>
    <row r="296" spans="7:16" hidden="1" outlineLevel="1" x14ac:dyDescent="0.25">
      <c r="G296" s="1" t="s">
        <v>323</v>
      </c>
      <c r="H296" s="1" t="s">
        <v>18</v>
      </c>
      <c r="I296" s="1" t="s">
        <v>14</v>
      </c>
      <c r="J296" s="1" t="s">
        <v>15</v>
      </c>
      <c r="L296" s="1" t="s">
        <v>78</v>
      </c>
      <c r="M296" s="1" t="s">
        <v>235</v>
      </c>
      <c r="N296" s="1" t="s">
        <v>236</v>
      </c>
      <c r="O296" s="1" t="s">
        <v>430</v>
      </c>
      <c r="P296" s="1" t="s">
        <v>433</v>
      </c>
    </row>
    <row r="297" spans="7:16" hidden="1" outlineLevel="1" x14ac:dyDescent="0.25">
      <c r="G297" s="1" t="s">
        <v>323</v>
      </c>
      <c r="H297" s="1" t="s">
        <v>18</v>
      </c>
      <c r="I297" s="1" t="s">
        <v>14</v>
      </c>
      <c r="J297" s="1" t="s">
        <v>15</v>
      </c>
      <c r="L297" s="1" t="s">
        <v>78</v>
      </c>
      <c r="M297" s="1" t="s">
        <v>235</v>
      </c>
      <c r="N297" s="1" t="s">
        <v>236</v>
      </c>
      <c r="O297" s="1" t="s">
        <v>430</v>
      </c>
      <c r="P297" s="1" t="s">
        <v>433</v>
      </c>
    </row>
    <row r="298" spans="7:16" hidden="1" outlineLevel="1" x14ac:dyDescent="0.25">
      <c r="G298" s="1" t="s">
        <v>321</v>
      </c>
      <c r="H298" s="1" t="s">
        <v>18</v>
      </c>
      <c r="I298" s="1" t="s">
        <v>14</v>
      </c>
      <c r="J298" s="1" t="s">
        <v>15</v>
      </c>
      <c r="L298" s="1" t="s">
        <v>78</v>
      </c>
      <c r="M298" s="1" t="s">
        <v>235</v>
      </c>
      <c r="N298" s="1" t="s">
        <v>236</v>
      </c>
      <c r="O298" s="1" t="s">
        <v>430</v>
      </c>
      <c r="P298" s="1" t="s">
        <v>433</v>
      </c>
    </row>
    <row r="299" spans="7:16" hidden="1" outlineLevel="1" x14ac:dyDescent="0.25">
      <c r="G299" s="1" t="s">
        <v>321</v>
      </c>
      <c r="H299" s="1" t="s">
        <v>18</v>
      </c>
      <c r="I299" s="1" t="s">
        <v>14</v>
      </c>
      <c r="J299" s="1" t="s">
        <v>15</v>
      </c>
      <c r="L299" s="1" t="s">
        <v>78</v>
      </c>
      <c r="M299" s="1" t="s">
        <v>235</v>
      </c>
      <c r="N299" s="1" t="s">
        <v>236</v>
      </c>
      <c r="O299" s="1" t="s">
        <v>430</v>
      </c>
      <c r="P299" s="1" t="s">
        <v>433</v>
      </c>
    </row>
    <row r="300" spans="7:16" hidden="1" outlineLevel="1" x14ac:dyDescent="0.25">
      <c r="G300" s="1" t="s">
        <v>321</v>
      </c>
      <c r="H300" s="1" t="s">
        <v>18</v>
      </c>
      <c r="I300" s="1" t="s">
        <v>14</v>
      </c>
      <c r="J300" s="1" t="s">
        <v>15</v>
      </c>
      <c r="L300" s="1" t="s">
        <v>78</v>
      </c>
      <c r="M300" s="1" t="s">
        <v>235</v>
      </c>
      <c r="N300" s="1" t="s">
        <v>236</v>
      </c>
      <c r="O300" s="1" t="s">
        <v>430</v>
      </c>
      <c r="P300" s="1" t="s">
        <v>433</v>
      </c>
    </row>
    <row r="301" spans="7:16" hidden="1" outlineLevel="1" x14ac:dyDescent="0.25">
      <c r="G301" s="1" t="s">
        <v>321</v>
      </c>
      <c r="H301" s="1" t="s">
        <v>18</v>
      </c>
      <c r="I301" s="1" t="s">
        <v>14</v>
      </c>
      <c r="J301" s="1" t="s">
        <v>15</v>
      </c>
      <c r="L301" s="1" t="s">
        <v>78</v>
      </c>
      <c r="M301" s="1" t="s">
        <v>235</v>
      </c>
      <c r="N301" s="1" t="s">
        <v>236</v>
      </c>
      <c r="O301" s="1" t="s">
        <v>430</v>
      </c>
      <c r="P301" s="1" t="s">
        <v>433</v>
      </c>
    </row>
    <row r="302" spans="7:16" hidden="1" outlineLevel="1" x14ac:dyDescent="0.25">
      <c r="G302" s="1" t="s">
        <v>321</v>
      </c>
      <c r="H302" s="1" t="s">
        <v>18</v>
      </c>
      <c r="I302" s="1" t="s">
        <v>14</v>
      </c>
      <c r="J302" s="1" t="s">
        <v>15</v>
      </c>
      <c r="L302" s="1" t="s">
        <v>78</v>
      </c>
      <c r="M302" s="1" t="s">
        <v>235</v>
      </c>
      <c r="N302" s="1" t="s">
        <v>236</v>
      </c>
      <c r="O302" s="1" t="s">
        <v>430</v>
      </c>
      <c r="P302" s="1" t="s">
        <v>433</v>
      </c>
    </row>
    <row r="303" spans="7:16" hidden="1" outlineLevel="1" x14ac:dyDescent="0.25">
      <c r="G303" s="1" t="s">
        <v>321</v>
      </c>
      <c r="H303" s="1" t="s">
        <v>18</v>
      </c>
      <c r="I303" s="1" t="s">
        <v>14</v>
      </c>
      <c r="J303" s="1" t="s">
        <v>15</v>
      </c>
      <c r="L303" s="1" t="s">
        <v>78</v>
      </c>
      <c r="M303" s="1" t="s">
        <v>235</v>
      </c>
      <c r="N303" s="1" t="s">
        <v>236</v>
      </c>
      <c r="O303" s="1" t="s">
        <v>430</v>
      </c>
      <c r="P303" s="1" t="s">
        <v>433</v>
      </c>
    </row>
    <row r="304" spans="7:16" hidden="1" outlineLevel="1" x14ac:dyDescent="0.25">
      <c r="G304" s="1" t="s">
        <v>321</v>
      </c>
      <c r="H304" s="1" t="s">
        <v>18</v>
      </c>
      <c r="I304" s="1" t="s">
        <v>14</v>
      </c>
      <c r="J304" s="1" t="s">
        <v>15</v>
      </c>
      <c r="L304" s="1" t="s">
        <v>78</v>
      </c>
      <c r="M304" s="1" t="s">
        <v>235</v>
      </c>
      <c r="N304" s="1" t="s">
        <v>236</v>
      </c>
      <c r="O304" s="1" t="s">
        <v>430</v>
      </c>
      <c r="P304" s="1" t="s">
        <v>433</v>
      </c>
    </row>
    <row r="305" spans="7:16" hidden="1" outlineLevel="1" x14ac:dyDescent="0.25">
      <c r="G305" s="1" t="s">
        <v>321</v>
      </c>
      <c r="H305" s="1" t="s">
        <v>18</v>
      </c>
      <c r="I305" s="1" t="s">
        <v>14</v>
      </c>
      <c r="J305" s="1" t="s">
        <v>15</v>
      </c>
      <c r="L305" s="1" t="s">
        <v>78</v>
      </c>
      <c r="M305" s="1" t="s">
        <v>235</v>
      </c>
      <c r="N305" s="1" t="s">
        <v>236</v>
      </c>
      <c r="O305" s="1" t="s">
        <v>430</v>
      </c>
      <c r="P305" s="1" t="s">
        <v>433</v>
      </c>
    </row>
    <row r="306" spans="7:16" hidden="1" outlineLevel="1" x14ac:dyDescent="0.25">
      <c r="G306" s="1" t="s">
        <v>321</v>
      </c>
      <c r="H306" s="1" t="s">
        <v>18</v>
      </c>
      <c r="I306" s="1" t="s">
        <v>14</v>
      </c>
      <c r="J306" s="1" t="s">
        <v>15</v>
      </c>
      <c r="L306" s="1" t="s">
        <v>78</v>
      </c>
      <c r="M306" s="1" t="s">
        <v>235</v>
      </c>
      <c r="N306" s="1" t="s">
        <v>236</v>
      </c>
      <c r="O306" s="1" t="s">
        <v>430</v>
      </c>
      <c r="P306" s="1" t="s">
        <v>433</v>
      </c>
    </row>
    <row r="307" spans="7:16" hidden="1" outlineLevel="1" x14ac:dyDescent="0.25">
      <c r="G307" s="1" t="s">
        <v>321</v>
      </c>
      <c r="H307" s="1" t="s">
        <v>18</v>
      </c>
      <c r="I307" s="1" t="s">
        <v>14</v>
      </c>
      <c r="J307" s="1" t="s">
        <v>15</v>
      </c>
      <c r="L307" s="1" t="s">
        <v>78</v>
      </c>
      <c r="M307" s="1" t="s">
        <v>235</v>
      </c>
      <c r="N307" s="1" t="s">
        <v>236</v>
      </c>
      <c r="O307" s="1" t="s">
        <v>430</v>
      </c>
      <c r="P307" s="1" t="s">
        <v>433</v>
      </c>
    </row>
    <row r="308" spans="7:16" hidden="1" outlineLevel="1" x14ac:dyDescent="0.25">
      <c r="G308" s="1" t="s">
        <v>321</v>
      </c>
      <c r="H308" s="1" t="s">
        <v>18</v>
      </c>
      <c r="I308" s="1" t="s">
        <v>14</v>
      </c>
      <c r="J308" s="1" t="s">
        <v>15</v>
      </c>
      <c r="L308" s="1" t="s">
        <v>78</v>
      </c>
      <c r="M308" s="1" t="s">
        <v>235</v>
      </c>
      <c r="N308" s="1" t="s">
        <v>236</v>
      </c>
      <c r="O308" s="1" t="s">
        <v>430</v>
      </c>
      <c r="P308" s="1" t="s">
        <v>433</v>
      </c>
    </row>
    <row r="309" spans="7:16" hidden="1" outlineLevel="1" x14ac:dyDescent="0.25">
      <c r="G309" s="1" t="s">
        <v>321</v>
      </c>
      <c r="H309" s="1" t="s">
        <v>18</v>
      </c>
      <c r="I309" s="1" t="s">
        <v>14</v>
      </c>
      <c r="J309" s="1" t="s">
        <v>15</v>
      </c>
      <c r="L309" s="1" t="s">
        <v>78</v>
      </c>
      <c r="M309" s="1" t="s">
        <v>235</v>
      </c>
      <c r="N309" s="1" t="s">
        <v>236</v>
      </c>
      <c r="O309" s="1" t="s">
        <v>430</v>
      </c>
      <c r="P309" s="1" t="s">
        <v>433</v>
      </c>
    </row>
    <row r="310" spans="7:16" hidden="1" outlineLevel="1" x14ac:dyDescent="0.25">
      <c r="G310" s="1" t="s">
        <v>321</v>
      </c>
      <c r="H310" s="1" t="s">
        <v>18</v>
      </c>
      <c r="I310" s="1" t="s">
        <v>14</v>
      </c>
      <c r="J310" s="1" t="s">
        <v>15</v>
      </c>
      <c r="L310" s="1" t="s">
        <v>78</v>
      </c>
      <c r="M310" s="1" t="s">
        <v>235</v>
      </c>
      <c r="N310" s="1" t="s">
        <v>236</v>
      </c>
      <c r="O310" s="1" t="s">
        <v>430</v>
      </c>
      <c r="P310" s="1" t="s">
        <v>433</v>
      </c>
    </row>
    <row r="311" spans="7:16" hidden="1" outlineLevel="1" x14ac:dyDescent="0.25">
      <c r="G311" s="1" t="s">
        <v>321</v>
      </c>
      <c r="H311" s="1" t="s">
        <v>18</v>
      </c>
      <c r="I311" s="1" t="s">
        <v>14</v>
      </c>
      <c r="J311" s="1" t="s">
        <v>15</v>
      </c>
      <c r="L311" s="1" t="s">
        <v>78</v>
      </c>
      <c r="M311" s="1" t="s">
        <v>235</v>
      </c>
      <c r="N311" s="1" t="s">
        <v>236</v>
      </c>
      <c r="O311" s="1" t="s">
        <v>430</v>
      </c>
      <c r="P311" s="1" t="s">
        <v>433</v>
      </c>
    </row>
    <row r="312" spans="7:16" hidden="1" outlineLevel="1" x14ac:dyDescent="0.25">
      <c r="G312" s="1" t="s">
        <v>321</v>
      </c>
      <c r="H312" s="1" t="s">
        <v>18</v>
      </c>
      <c r="I312" s="1" t="s">
        <v>14</v>
      </c>
      <c r="J312" s="1" t="s">
        <v>15</v>
      </c>
      <c r="L312" s="1" t="s">
        <v>78</v>
      </c>
      <c r="M312" s="1" t="s">
        <v>235</v>
      </c>
      <c r="N312" s="1" t="s">
        <v>236</v>
      </c>
      <c r="O312" s="1" t="s">
        <v>430</v>
      </c>
      <c r="P312" s="1" t="s">
        <v>433</v>
      </c>
    </row>
    <row r="313" spans="7:16" hidden="1" outlineLevel="1" x14ac:dyDescent="0.25">
      <c r="G313" s="1" t="s">
        <v>321</v>
      </c>
      <c r="H313" s="1" t="s">
        <v>18</v>
      </c>
      <c r="I313" s="1" t="s">
        <v>14</v>
      </c>
      <c r="J313" s="1" t="s">
        <v>15</v>
      </c>
      <c r="L313" s="1" t="s">
        <v>78</v>
      </c>
      <c r="M313" s="1" t="s">
        <v>235</v>
      </c>
      <c r="N313" s="1" t="s">
        <v>236</v>
      </c>
      <c r="O313" s="1" t="s">
        <v>430</v>
      </c>
      <c r="P313" s="1" t="s">
        <v>433</v>
      </c>
    </row>
    <row r="314" spans="7:16" hidden="1" outlineLevel="1" x14ac:dyDescent="0.25"/>
    <row r="315" spans="7:16" hidden="1" outlineLevel="1" x14ac:dyDescent="0.25"/>
    <row r="316" spans="7:16" hidden="1" outlineLevel="1" x14ac:dyDescent="0.25"/>
    <row r="317" spans="7:16" hidden="1" outlineLevel="1" x14ac:dyDescent="0.25"/>
    <row r="318" spans="7:16" collapsed="1" x14ac:dyDescent="0.25"/>
  </sheetData>
  <sheetProtection formatCells="0"/>
  <protectedRanges>
    <protectedRange sqref="G6:X102" name="範圍1"/>
  </protectedRanges>
  <mergeCells count="3">
    <mergeCell ref="H3:J4"/>
    <mergeCell ref="L3:P3"/>
    <mergeCell ref="N4:P4"/>
  </mergeCells>
  <phoneticPr fontId="1" type="noConversion"/>
  <conditionalFormatting sqref="L6:L102">
    <cfRule type="expression" dxfId="3" priority="4">
      <formula>NOT(COUNTIF(Pinmode, "GPIO_*"))</formula>
    </cfRule>
  </conditionalFormatting>
  <conditionalFormatting sqref="M6:M102">
    <cfRule type="expression" dxfId="2" priority="3">
      <formula>NOT(AND(COUNTIF(Pinmode, "GPIO_*"), COUNTIF($L6, $M$4)))</formula>
    </cfRule>
  </conditionalFormatting>
  <conditionalFormatting sqref="N6:P102">
    <cfRule type="expression" dxfId="1" priority="2">
      <formula>NOT(AND(COUNTIF(Pinmode, "GPIO_*"),COUNTIF($L6, $N$4)) )</formula>
    </cfRule>
  </conditionalFormatting>
  <conditionalFormatting sqref="L6:P102 B6:J102">
    <cfRule type="expression" dxfId="0" priority="1">
      <formula>Activate=$G$107</formula>
    </cfRule>
  </conditionalFormatting>
  <dataValidations count="27">
    <dataValidation type="list" allowBlank="1" showInputMessage="1" showErrorMessage="1" sqref="H99:H102" xr:uid="{046F4DEC-A89E-40B0-84B0-F36D60686CA1}">
      <formula1>$H$106:$H$113</formula1>
    </dataValidation>
    <dataValidation type="list" allowBlank="1" showInputMessage="1" showErrorMessage="1" sqref="J99:J102" xr:uid="{22513862-20EA-471A-B7E7-5F45CE816091}">
      <formula1>$J$106:$J$109</formula1>
    </dataValidation>
    <dataValidation type="list" allowBlank="1" showInputMessage="1" showErrorMessage="1" sqref="P99:P102" xr:uid="{811A878B-B3C2-42C6-BF25-067A2EFDFBCE}">
      <formula1>$P$106:$P$108</formula1>
    </dataValidation>
    <dataValidation type="list" allowBlank="1" showInputMessage="1" showErrorMessage="1" sqref="O99:O102" xr:uid="{4707A35A-D5AF-4379-8CE0-34EF55F13A40}">
      <formula1>$O$106:$O$109</formula1>
    </dataValidation>
    <dataValidation type="list" allowBlank="1" showInputMessage="1" showErrorMessage="1" sqref="N99:N102" xr:uid="{54E8B9C0-345A-4E08-B615-153A5CBF6170}">
      <formula1>$N$106:$N$107</formula1>
    </dataValidation>
    <dataValidation type="list" allowBlank="1" showInputMessage="1" showErrorMessage="1" sqref="M99:M102" xr:uid="{A0891930-6D91-4E66-8054-C1892E4831E2}">
      <formula1>$M$106:$M$107</formula1>
    </dataValidation>
    <dataValidation type="list" allowBlank="1" showInputMessage="1" showErrorMessage="1" sqref="L99:L102" xr:uid="{1B7E8389-4AB0-4CB6-B1C5-411C124E2A0D}">
      <formula1>$L$106:$L$107</formula1>
    </dataValidation>
    <dataValidation allowBlank="1" showInputMessage="1" showErrorMessage="1" promptTitle="Default" prompt="Low" sqref="M5" xr:uid="{E5E6C819-F656-46A4-9ACA-3A7967989413}"/>
    <dataValidation allowBlank="1" showInputMessage="1" showErrorMessage="1" promptTitle="Default" prompt="Input" sqref="L5" xr:uid="{49355A80-ECF6-4638-AE64-86E4B5D19206}"/>
    <dataValidation type="list" allowBlank="1" showInputMessage="1" showErrorMessage="1" sqref="I99:I102" xr:uid="{87DFFB20-B08D-43C1-B915-2E323F6E3891}">
      <formula1>$I$106:$I$108</formula1>
    </dataValidation>
    <dataValidation type="list" allowBlank="1" showInputMessage="1" showErrorMessage="1" sqref="H98 H41 H79 H80 H20 H78 H16 H17 H39 H81 H77 H76 H40 H42 H43 H44 H62 H63 H64 H65 H66 H67 H68 H69 H70 H71 H72 H73 H74 H75" xr:uid="{349B4B47-C776-4D85-A8A7-F921F9109624}">
      <formula1>Default_mod</formula1>
    </dataValidation>
    <dataValidation type="list" allowBlank="1" showInputMessage="1" showErrorMessage="1" sqref="I98 I41 I79 I80 I20 I78 I16 I17 I39 I81 I77 I76 I40 I42 I43 I44 I62 I63 I64 I65 I66 I67 I68 I69 I70 I71 I72 I73 I74 I75" xr:uid="{ECE0287A-9E8B-4A7B-8B32-5B69898C2EF6}">
      <formula1>Default_pud</formula1>
    </dataValidation>
    <dataValidation type="list" allowBlank="1" showInputMessage="1" showErrorMessage="1" sqref="J98 J41 J79 J80 J20 J78 J16 J17 J39 J81 J77 J76 J40 J42 J43 J44 J62 J63 J64 J65 J66 J67 J68 J69 J70 J71 J72 J73 J74 J75" xr:uid="{369B4AA2-25DA-45DE-ACE1-571E585C62AF}">
      <formula1>Default_drv</formula1>
    </dataValidation>
    <dataValidation type="list" allowBlank="1" showInputMessage="1" showErrorMessage="1" sqref="S16:S17 S6 S81 L30 L34 L58 L12 L14 L94 L95 L96 L6 L7 L8 L9 L10 L11 L13 L15 L18 L19 L21 L22 L23 L24 L25 L26 L27 L28 L29 L33 L31 L32 L35 L45 L46 L47 L48 L49 L50 L51 L52 L53 L54 L55 L56 L57 L59 L60 L61 L82 L83 L84 L85 L86 L87 L88 L89 L90 L91 L92 L93 L97 L37 L38 L36" xr:uid="{4FDE8906-1EC6-4497-A092-63BC09FA3533}">
      <formula1>Option_dir</formula1>
    </dataValidation>
    <dataValidation type="list" allowBlank="1" showInputMessage="1" showErrorMessage="1" sqref="F16 F6:F7 F97 M30 M34 M58 M12 M14 M94 M95 M96 M6 M7 M8 M9 M10 M11 M13 M15 M18 M19 M21 M22 M23 M24 M25 M26 M27 M28 M29 M33 M31 M32 M35 M45 M46 M47 M48 M49 M50 M51 M52 M53 M54 M55 M56 M57 M59 M60 M61 M82 M83 M84 M85 M86 M87 M88 M89 M90 M91 M92 M93 M97 M37 M38 M36" xr:uid="{A5551E7E-F2A6-401F-ACF7-58FC96446933}">
      <formula1>Option_Output</formula1>
    </dataValidation>
    <dataValidation type="list" allowBlank="1" showInputMessage="1" showErrorMessage="1" sqref="L98 L41 L79 L80 L20 L78 L16 L17 L39 L81 L77 L76 L40 L42 L43 L44 L62 L63 L64 L65 L66 L67 L68 L69 L70 L71 L72 L73 L74 L75" xr:uid="{BE66C460-04CF-47E4-ABC8-6AEAC1124BB7}">
      <formula1>Default_dir</formula1>
    </dataValidation>
    <dataValidation type="list" allowBlank="1" showInputMessage="1" showErrorMessage="1" sqref="M98 M41 M79 M80 M20 M78 M16 M17 M39 M81 M77 M76 M40 M42 M43 M44 M62 M63 M64 M65 M66 M67 M68 M69 M70 M71 M72 M73 M74 M75" xr:uid="{687370A9-E8F4-4496-A352-ED4906C33A4B}">
      <formula1>Default_Output</formula1>
    </dataValidation>
    <dataValidation type="list" allowBlank="1" showInputMessage="1" showErrorMessage="1" sqref="N98 N41 N79 N80 N20 N78 N16 N17 N39 N81 N77 N76 N40 N42 N43 N44 N62 N63 N64 N65 N66 N67 N68 N69 N70 N71 N72 N73 N74 N75" xr:uid="{5E3C2C0C-B00A-4392-80E6-F24459869EA1}">
      <formula1>Default_Intsetting</formula1>
    </dataValidation>
    <dataValidation type="list" allowBlank="1" showInputMessage="1" showErrorMessage="1" sqref="O98 O41 O79 O80 O20 O78 O16 O17 O39 O81 O77 O76 O40 O42 O43 O44 O62 O63 O64 O65 O66 O67 O68 O69 O70 O71 O72 O73 O74 O75" xr:uid="{9886E3A4-4521-44AC-BC8D-FD15EA9ED63A}">
      <formula1>Default_Edgesetting</formula1>
    </dataValidation>
    <dataValidation type="list" allowBlank="1" showInputMessage="1" showErrorMessage="1" sqref="P98 P41 P79 P80 P20 P78 P16 P17 P39 P81 P77 P76 P40 P42 P43 P44 P62 P63 P64 P65 P66 P67 P68 P69 P70 P71 P72 P73 P74 P75" xr:uid="{9CEB276A-61DA-4622-B499-DC7875702E6B}">
      <formula1>Default_Levelsetting</formula1>
    </dataValidation>
    <dataValidation type="list" allowBlank="1" showInputMessage="1" showErrorMessage="1" sqref="H12 H14 H30 H34 H58 H94 H95 H96 H6 H7 H8 H9 H10 H11 H13 H15 H18 H19 H21 H22 H23 H24 H25 H26 H27 H28 H29 H33 H31 H32 H35 H45 H46 H47 H48 H49 H50 H51 H52 H53 H54 H55 H56 H57 H59 H60 H61 H82 H83 H84 H85 H86 H87 H88 H89 H90 H91 H92 H93 H97 H37 H38 H36" xr:uid="{1CC7174B-E163-4B5C-BBE8-21DB64DF1503}">
      <formula1>Option_mod</formula1>
    </dataValidation>
    <dataValidation type="list" allowBlank="1" showInputMessage="1" showErrorMessage="1" sqref="I12 I14 I30 I34 I58 I94 I95 I96 I6 I7 I8 I9 I10 I11 I13 I15 I18 I19 I21 I22 I23 I24 I25 I26 I27 I28 I29 I33 I31 I32 I35 I45 I46 I47 I48 I49 I50 I51 I52 I53 I54 I55 I56 I57 I59 I60 I61 I82 I83 I84 I85 I86 I87 I88 I89 I90 I91 I92 I93 I97 I37 I38 I36" xr:uid="{F94CC1B3-A9FC-4ECA-B697-B0D5E27FD820}">
      <formula1>Option_pud</formula1>
    </dataValidation>
    <dataValidation type="list" allowBlank="1" showInputMessage="1" showErrorMessage="1" sqref="J12 J14 J30 J34 J58 J94 J95 J96 J6 J7 J8 J9 J10 J11 J13 J15 J18 J19 J21 J22 J23 J24 J25 J26 J27 J28 J29 J33 J31 J32 J35 J45 J46 J47 J48 J49 J50 J51 J52 J53 J54 J55 J56 J57 J59 J60 J61 J82 J83 J84 J85 J86 J87 J88 J89 J90 J91 J92 J93 J97 J37 J38 J36" xr:uid="{F24B0FD1-D737-4266-B420-6240B8F743BF}">
      <formula1>Option_drv</formula1>
    </dataValidation>
    <dataValidation type="list" allowBlank="1" showInputMessage="1" showErrorMessage="1" sqref="N12 N14 N30 N34 N58 N94 N95 N96 N6 N7 N8 N9 N10 N11 N13 N15 N18 N19 N21 N22 N23 N24 N25 N26 N27 N28 N29 N33 N31 N32 N35 N45 N46 N47 N48 N49 N50 N51 N52 N53 N54 N55 N56 N57 N59 N60 N61 N82 N83 N84 N85 N86 N87 N88 N89 N90 N91 N92 N93 N97 N37 N38 N36" xr:uid="{56A8227C-58E0-499D-8155-9D37A70D6AEE}">
      <formula1>Option_Intsetting</formula1>
    </dataValidation>
    <dataValidation type="list" allowBlank="1" showInputMessage="1" showErrorMessage="1" sqref="O12 O14 O30 O34 O58 O94 O95 O96 O6 O7 O8 O9 O10 O11 O13 O15 O18 O19 O21 O22 O23 O24 O25 O26 O27 O28 O29 O33 O31 O32 O35 O45 O46 O47 O48 O49 O50 O51 O52 O53 O54 O55 O56 O57 O59 O60 O61 O82 O83 O84 O85 O86 O87 O88 O89 O90 O91 O92 O93 O97 O37 O38 O36" xr:uid="{B4D3CD81-E274-4846-B6D8-08ED9BDF4098}">
      <formula1>Option_Edgesetting</formula1>
    </dataValidation>
    <dataValidation type="list" allowBlank="1" showInputMessage="1" showErrorMessage="1" sqref="P12 P14 P30 P34 P58 P94 P95 P96 P6 P7 P8 P9 P10 P11 P13 P15 P18 P19 P21 P22 P23 P24 P25 P26 P27 P28 P29 P33 P31 P32 P35 P45 P46 P47 P48 P49 P50 P51 P52 P53 P54 P55 P56 P57 P59 P60 P61 P82 P83 P84 P85 P86 P87 P88 P89 P90 P91 P92 P93 P97 P37 P38 P36" xr:uid="{C00AE33D-C31B-4393-B146-12B986318C23}">
      <formula1>Option_Levelsetting</formula1>
    </dataValidation>
    <dataValidation type="list" allowBlank="1" showInputMessage="1" showErrorMessage="1" sqref="G39:G102 G6:G38" xr:uid="{0CAAEBC2-020D-4E83-BF30-F5471C956D80}">
      <formula1>Option_Activate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pinmux_config">
                <anchor moveWithCells="1" sizeWithCells="1">
                  <from>
                    <xdr:col>6</xdr:col>
                    <xdr:colOff>752475</xdr:colOff>
                    <xdr:row>0</xdr:row>
                    <xdr:rowOff>66675</xdr:rowOff>
                  </from>
                  <to>
                    <xdr:col>8</xdr:col>
                    <xdr:colOff>333375</xdr:colOff>
                    <xdr:row>1</xdr:row>
                    <xdr:rowOff>171450</xdr:rowOff>
                  </to>
                </anchor>
              </controlPr>
            </control>
          </mc:Choice>
        </mc:AlternateContent>
        <mc:AlternateContent xmlns:mc="http://schemas.openxmlformats.org/markup-compatibility/2006">
          <mc:Choice Requires="x14">
            <control shapeId="2050" r:id="rId5" name="Button 2">
              <controlPr defaultSize="0" print="0" autoFill="0" autoPict="0" macro="[0]!setkneron96default">
                <anchor moveWithCells="1" sizeWithCells="1">
                  <from>
                    <xdr:col>4</xdr:col>
                    <xdr:colOff>247650</xdr:colOff>
                    <xdr:row>2</xdr:row>
                    <xdr:rowOff>9525</xdr:rowOff>
                  </from>
                  <to>
                    <xdr:col>5</xdr:col>
                    <xdr:colOff>381000</xdr:colOff>
                    <xdr:row>3</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setmozarthwdefault">
                <anchor moveWithCells="1" sizeWithCells="1">
                  <from>
                    <xdr:col>5</xdr:col>
                    <xdr:colOff>514350</xdr:colOff>
                    <xdr:row>2</xdr:row>
                    <xdr:rowOff>9525</xdr:rowOff>
                  </from>
                  <to>
                    <xdr:col>5</xdr:col>
                    <xdr:colOff>1990725</xdr:colOff>
                    <xdr:row>3</xdr:row>
                    <xdr:rowOff>114300</xdr:rowOff>
                  </to>
                </anchor>
              </controlPr>
            </control>
          </mc:Choice>
        </mc:AlternateContent>
        <mc:AlternateContent xmlns:mc="http://schemas.openxmlformats.org/markup-compatibility/2006">
          <mc:Choice Requires="x14">
            <control shapeId="2067" r:id="rId7" name="Button 19">
              <controlPr defaultSize="0" print="0" autoFill="0" autoPict="0" macro="[0]!export_gpio_config">
                <anchor moveWithCells="1" sizeWithCells="1">
                  <from>
                    <xdr:col>10</xdr:col>
                    <xdr:colOff>219075</xdr:colOff>
                    <xdr:row>0</xdr:row>
                    <xdr:rowOff>66675</xdr:rowOff>
                  </from>
                  <to>
                    <xdr:col>12</xdr:col>
                    <xdr:colOff>609600</xdr:colOff>
                    <xdr:row>1</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具名範圍</vt:lpstr>
      </vt:variant>
      <vt:variant>
        <vt:i4>134</vt:i4>
      </vt:variant>
    </vt:vector>
  </HeadingPairs>
  <TitlesOfParts>
    <vt:vector size="137" baseType="lpstr">
      <vt:lpstr>Keil_info</vt:lpstr>
      <vt:lpstr>CustomerConfig</vt:lpstr>
      <vt:lpstr>Kneron_Pinmux_720ev_9x9</vt:lpstr>
      <vt:lpstr>Activate</vt:lpstr>
      <vt:lpstr>Kneron_Pinmux_720ev_9x9!ActivateRange</vt:lpstr>
      <vt:lpstr>AsicResult</vt:lpstr>
      <vt:lpstr>Beethove_default</vt:lpstr>
      <vt:lpstr>Beethoven_720ev_9x9_default</vt:lpstr>
      <vt:lpstr>BoardCustomerID</vt:lpstr>
      <vt:lpstr>BoardDefineOpt</vt:lpstr>
      <vt:lpstr>BoardDefineOptRange</vt:lpstr>
      <vt:lpstr>boardID</vt:lpstr>
      <vt:lpstr>BoardResult</vt:lpstr>
      <vt:lpstr>CFG_AI</vt:lpstr>
      <vt:lpstr>CFG_AI_Range</vt:lpstr>
      <vt:lpstr>COMM_I2CSPEED</vt:lpstr>
      <vt:lpstr>COMM_I2CSPEED_Range</vt:lpstr>
      <vt:lpstr>COMM_PORT</vt:lpstr>
      <vt:lpstr>COMM_PORT_NUM</vt:lpstr>
      <vt:lpstr>COMM_PORT_Range</vt:lpstr>
      <vt:lpstr>COMM_PORT_ROW</vt:lpstr>
      <vt:lpstr>COMM_SPIMODE</vt:lpstr>
      <vt:lpstr>COMM_SPIMODE_Range</vt:lpstr>
      <vt:lpstr>COMM_SUPPORT</vt:lpstr>
      <vt:lpstr>COMM_SUPPORT_Range</vt:lpstr>
      <vt:lpstr>ConfigOptDataRange</vt:lpstr>
      <vt:lpstr>CurrPath</vt:lpstr>
      <vt:lpstr>DataRange</vt:lpstr>
      <vt:lpstr>Default_dir</vt:lpstr>
      <vt:lpstr>Default_drv</vt:lpstr>
      <vt:lpstr>Default_Edgesetting</vt:lpstr>
      <vt:lpstr>Default_Intsetting</vt:lpstr>
      <vt:lpstr>Default_Levelsetting</vt:lpstr>
      <vt:lpstr>Default_mod</vt:lpstr>
      <vt:lpstr>Default_Output</vt:lpstr>
      <vt:lpstr>Default_pud</vt:lpstr>
      <vt:lpstr>DirInput</vt:lpstr>
      <vt:lpstr>DirOutput</vt:lpstr>
      <vt:lpstr>DISPLAY_DEVICE</vt:lpstr>
      <vt:lpstr>DISPLAY_DEVICE_Range</vt:lpstr>
      <vt:lpstr>DISPLAY_PANEL</vt:lpstr>
      <vt:lpstr>DISPLAY_PANEL_Range</vt:lpstr>
      <vt:lpstr>filename</vt:lpstr>
      <vt:lpstr>filepath</vt:lpstr>
      <vt:lpstr>FLASH_COMM</vt:lpstr>
      <vt:lpstr>FLASH_COMM_Range</vt:lpstr>
      <vt:lpstr>FLASH_DRV</vt:lpstr>
      <vt:lpstr>FLASH_DRV_Range</vt:lpstr>
      <vt:lpstr>FLASH_SIZE</vt:lpstr>
      <vt:lpstr>FLASH_SIZE_Range</vt:lpstr>
      <vt:lpstr>FLASH_TYPE</vt:lpstr>
      <vt:lpstr>FLASH_TYPE_Range</vt:lpstr>
      <vt:lpstr>foldername</vt:lpstr>
      <vt:lpstr>HasGPIO</vt:lpstr>
      <vt:lpstr>HasI2C</vt:lpstr>
      <vt:lpstr>HasSPI</vt:lpstr>
      <vt:lpstr>IMGSR_NUM</vt:lpstr>
      <vt:lpstr>IMGSR_NUM_ROW</vt:lpstr>
      <vt:lpstr>IMGSRC_IN_PORT</vt:lpstr>
      <vt:lpstr>IntDisable</vt:lpstr>
      <vt:lpstr>IntEdgeBoth</vt:lpstr>
      <vt:lpstr>IntEdgeFall</vt:lpstr>
      <vt:lpstr>IntEdgeNone</vt:lpstr>
      <vt:lpstr>IntEdgeRise</vt:lpstr>
      <vt:lpstr>IntEnable</vt:lpstr>
      <vt:lpstr>IntLevelHigh</vt:lpstr>
      <vt:lpstr>IntLevelLow</vt:lpstr>
      <vt:lpstr>IntLevelNone</vt:lpstr>
      <vt:lpstr>iodir</vt:lpstr>
      <vt:lpstr>ioEdgeOpt</vt:lpstr>
      <vt:lpstr>iointen</vt:lpstr>
      <vt:lpstr>ioLevelOpt</vt:lpstr>
      <vt:lpstr>ioOutOpt</vt:lpstr>
      <vt:lpstr>ItemSearchStart</vt:lpstr>
      <vt:lpstr>keilinfo_pathstart</vt:lpstr>
      <vt:lpstr>keilrelated_drv_init</vt:lpstr>
      <vt:lpstr>keilrelated_include_file</vt:lpstr>
      <vt:lpstr>keilrelatedrange</vt:lpstr>
      <vt:lpstr>keilrelatedrangenum</vt:lpstr>
      <vt:lpstr>keilrelatedrangestart</vt:lpstr>
      <vt:lpstr>LoopMax</vt:lpstr>
      <vt:lpstr>Option_Activate</vt:lpstr>
      <vt:lpstr>Option_dir</vt:lpstr>
      <vt:lpstr>Option_drv</vt:lpstr>
      <vt:lpstr>Option_Edgesetting</vt:lpstr>
      <vt:lpstr>Option_Intsetting</vt:lpstr>
      <vt:lpstr>Option_Levelsetting</vt:lpstr>
      <vt:lpstr>Option_mod</vt:lpstr>
      <vt:lpstr>Option_Output</vt:lpstr>
      <vt:lpstr>Option_pud</vt:lpstr>
      <vt:lpstr>OutputHigh</vt:lpstr>
      <vt:lpstr>OutputLow</vt:lpstr>
      <vt:lpstr>path</vt:lpstr>
      <vt:lpstr>pcomment</vt:lpstr>
      <vt:lpstr>pdrv</vt:lpstr>
      <vt:lpstr>PeripheralsRequirementList_Range</vt:lpstr>
      <vt:lpstr>PeripheralsRequirementListStart</vt:lpstr>
      <vt:lpstr>Pinmode</vt:lpstr>
      <vt:lpstr>Kneron_Pinmux_720ev_9x9!pinmux_content</vt:lpstr>
      <vt:lpstr>pinmux_mode_resync</vt:lpstr>
      <vt:lpstr>Kneron_Pinmux_720ev_9x9!pinmux_start</vt:lpstr>
      <vt:lpstr>Kneron_Pinmux_720ev_9x9!PinNum</vt:lpstr>
      <vt:lpstr>pmode</vt:lpstr>
      <vt:lpstr>projectpath</vt:lpstr>
      <vt:lpstr>pud</vt:lpstr>
      <vt:lpstr>RequirementOptNum</vt:lpstr>
      <vt:lpstr>RES</vt:lpstr>
      <vt:lpstr>result_pinmux_mode</vt:lpstr>
      <vt:lpstr>result_pinmux_mode_start</vt:lpstr>
      <vt:lpstr>secretdatazone</vt:lpstr>
      <vt:lpstr>SENSOR_COM_droplist_ctx</vt:lpstr>
      <vt:lpstr>SUPPORT_ADC</vt:lpstr>
      <vt:lpstr>SUPPORT_ADC_Range</vt:lpstr>
      <vt:lpstr>SUPPORT_DDR</vt:lpstr>
      <vt:lpstr>SUPPORT_DDR_Range</vt:lpstr>
      <vt:lpstr>SUPPORT_GDMA</vt:lpstr>
      <vt:lpstr>SUPPORT_GDMA_Range</vt:lpstr>
      <vt:lpstr>SUPPORT_GPIO</vt:lpstr>
      <vt:lpstr>SUPPORT_GPIO_Range</vt:lpstr>
      <vt:lpstr>SUPPORT_PWM</vt:lpstr>
      <vt:lpstr>SUPPORT_PWM_Range</vt:lpstr>
      <vt:lpstr>SUPPORT_SDC</vt:lpstr>
      <vt:lpstr>SUPPORT_SDC_Range</vt:lpstr>
      <vt:lpstr>SUPPORT_TIMER</vt:lpstr>
      <vt:lpstr>SUPPORT_TIMER_Range</vt:lpstr>
      <vt:lpstr>SUPPORT_UART</vt:lpstr>
      <vt:lpstr>SUPPORT_UART_Range</vt:lpstr>
      <vt:lpstr>SUPPORT_USB</vt:lpstr>
      <vt:lpstr>SUPPORT_USB_Range</vt:lpstr>
      <vt:lpstr>SUPPORT_WDT</vt:lpstr>
      <vt:lpstr>SUPPORT_WDT_Range</vt:lpstr>
      <vt:lpstr>total_i2c</vt:lpstr>
      <vt:lpstr>total_i2s</vt:lpstr>
      <vt:lpstr>total_sensor_i2c</vt:lpstr>
      <vt:lpstr>total_sensor_spi</vt:lpstr>
      <vt:lpstr>total_spi</vt:lpstr>
      <vt:lpstr>total_uart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2020-04-15T09:40:58Z</dcterms:created>
  <dcterms:modified xsi:type="dcterms:W3CDTF">2020-11-26T07:23:41Z</dcterms:modified>
</cp:coreProperties>
</file>